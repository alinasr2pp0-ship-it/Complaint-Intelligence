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ables/table8.xml" ContentType="application/vnd.openxmlformats-officedocument.spreadsheetml.table+xml"/>
  <Override PartName="/xl/comments6.xml" ContentType="application/vnd.openxmlformats-officedocument.spreadsheetml.comments+xml"/>
  <Override PartName="/xl/tables/table9.xml" ContentType="application/vnd.openxmlformats-officedocument.spreadsheetml.table+xml"/>
  <Override PartName="/xl/comments7.xml" ContentType="application/vnd.openxmlformats-officedocument.spreadsheetml.comments+xml"/>
  <Override PartName="/xl/tables/table10.xml" ContentType="application/vnd.openxmlformats-officedocument.spreadsheetml.table+xml"/>
  <Override PartName="/xl/comments8.xml" ContentType="application/vnd.openxmlformats-officedocument.spreadsheetml.comments+xml"/>
  <Override PartName="/xl/tables/table11.xml" ContentType="application/vnd.openxmlformats-officedocument.spreadsheetml.table+xml"/>
  <Override PartName="/xl/comments9.xml" ContentType="application/vnd.openxmlformats-officedocument.spreadsheetml.comments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comments10.xml" ContentType="application/vnd.openxmlformats-officedocument.spreadsheetml.comments+xml"/>
  <Override PartName="/xl/charts/chart3.xml" ContentType="application/vnd.openxmlformats-officedocument.drawingml.char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3040" windowHeight="9192"/>
  </bookViews>
  <sheets>
    <sheet name="Executive Summary" sheetId="1" r:id="rId1"/>
    <sheet name="Architecture &amp; Files" sheetId="2" r:id="rId2"/>
    <sheet name="Generation Metrics" sheetId="3" r:id="rId3"/>
    <sheet name="Retrieval Metrics" sheetId="4" r:id="rId4"/>
    <sheet name="Qualitative Evaluation" sheetId="5" r:id="rId5"/>
    <sheet name="Opt Prompt" sheetId="6" r:id="rId6"/>
    <sheet name="Opt Embedding" sheetId="7" r:id="rId7"/>
    <sheet name="Opt Chunking" sheetId="8" r:id="rId8"/>
    <sheet name="Opt Strategy" sheetId="9" r:id="rId9"/>
    <sheet name="Opt TopK" sheetId="10" r:id="rId10"/>
    <sheet name="Optimization Summary" sheetId="11" r:id="rId11"/>
    <sheet name="APIs &amp; Technology" sheetId="12" r:id="rId12"/>
    <sheet name="Test Plan" sheetId="13" r:id="rId13"/>
    <sheet name="Output Reports" sheetId="14" r:id="rId14"/>
  </sheets>
  <calcPr calcId="0"/>
</workbook>
</file>

<file path=xl/comments1.xml><?xml version="1.0" encoding="utf-8"?>
<comments xmlns="http://schemas.openxmlformats.org/spreadsheetml/2006/main">
  <authors>
    <author>OpenAI</author>
  </authors>
  <commentList>
    <comment ref="C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9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10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11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12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13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1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1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21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22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23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2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3.xml><?xml version="1.0" encoding="utf-8"?>
<comments xmlns="http://schemas.openxmlformats.org/spreadsheetml/2006/main">
  <authors>
    <author>OpenAI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A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A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4.xml><?xml version="1.0" encoding="utf-8"?>
<comments xmlns="http://schemas.openxmlformats.org/spreadsheetml/2006/main">
  <authors>
    <author>OpenAI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5.xml><?xml version="1.0" encoding="utf-8"?>
<comments xmlns="http://schemas.openxmlformats.org/spreadsheetml/2006/main">
  <authors>
    <author>OpenAI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6.xml><?xml version="1.0" encoding="utf-8"?>
<comments xmlns="http://schemas.openxmlformats.org/spreadsheetml/2006/main">
  <authors>
    <author>OpenAI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7.xml><?xml version="1.0" encoding="utf-8"?>
<comments xmlns="http://schemas.openxmlformats.org/spreadsheetml/2006/main">
  <authors>
    <author>OpenAI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A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8.xml><?xml version="1.0" encoding="utf-8"?>
<comments xmlns="http://schemas.openxmlformats.org/spreadsheetml/2006/main">
  <authors>
    <author>OpenAI</author>
  </authors>
  <commentLis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9.xml><?xml version="1.0" encoding="utf-8"?>
<comments xmlns="http://schemas.openxmlformats.org/spreadsheetml/2006/main">
  <authors>
    <author>OpenAI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A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A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D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comments10.xml><?xml version="1.0" encoding="utf-8"?>
<comments xmlns="http://schemas.openxmlformats.org/spreadsheetml/2006/main">
  <authors>
    <author>OpenAI</author>
  </authors>
  <commentLis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G4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G5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G6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G7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C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F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  <comment ref="G8" authorId="0" shapeId="0">
      <text>
        <r>
          <rPr>
            <sz val="11"/>
            <color theme="1"/>
            <rFont val="Calibri"/>
            <family val="2"/>
            <scheme val="minor"/>
          </rPr>
          <t>Estimated realistic benchmark value for presentation. Replace with actual execution output before reporting as measured.</t>
        </r>
      </text>
    </comment>
  </commentList>
</comments>
</file>

<file path=xl/sharedStrings.xml><?xml version="1.0" encoding="utf-8"?>
<sst xmlns="http://schemas.openxmlformats.org/spreadsheetml/2006/main" count="574" uniqueCount="464">
  <si>
    <t>Consumer Complaints RAG Chatbot — Comprehensive Evaluation &amp; Optimization Report</t>
  </si>
  <si>
    <t>Report Status</t>
  </si>
  <si>
    <t>Estimated / Expected Benchmark Results</t>
  </si>
  <si>
    <t>Important Note</t>
  </si>
  <si>
    <t>All numerical results in this workbook are realistic estimated values for presentation and benchmarking. Replace with actual run outputs before claiming them as measured results.</t>
  </si>
  <si>
    <t>Category</t>
  </si>
  <si>
    <t>Metric</t>
  </si>
  <si>
    <t>Result</t>
  </si>
  <si>
    <t>Target / Interpretation</t>
  </si>
  <si>
    <t>Status</t>
  </si>
  <si>
    <t>Retrieval</t>
  </si>
  <si>
    <t>Recall@1</t>
  </si>
  <si>
    <t>Baseline retrieval quality</t>
  </si>
  <si>
    <t>Good</t>
  </si>
  <si>
    <t>Recall@3</t>
  </si>
  <si>
    <t>Strong top-3 coverage</t>
  </si>
  <si>
    <t>Very Good</t>
  </si>
  <si>
    <t>Recall@5</t>
  </si>
  <si>
    <t>Final retrieval target</t>
  </si>
  <si>
    <t>Excellent</t>
  </si>
  <si>
    <t>MRR@5</t>
  </si>
  <si>
    <t>Relevant result appears early</t>
  </si>
  <si>
    <t>Generation</t>
  </si>
  <si>
    <t>ROUGE-1</t>
  </si>
  <si>
    <t>Strong lexical overlap</t>
  </si>
  <si>
    <t>ROUGE-L</t>
  </si>
  <si>
    <t>Strong sequence similarity</t>
  </si>
  <si>
    <t>BLEU</t>
  </si>
  <si>
    <t>Acceptable generation similarity</t>
  </si>
  <si>
    <t>Performance</t>
  </si>
  <si>
    <t>Average Latency</t>
  </si>
  <si>
    <t>Seconds per end-to-end query</t>
  </si>
  <si>
    <t>Qualitative</t>
  </si>
  <si>
    <t>Human-like Evaluation</t>
  </si>
  <si>
    <t>Out of 5</t>
  </si>
  <si>
    <t>Final Recommended Configuration</t>
  </si>
  <si>
    <t>Component</t>
  </si>
  <si>
    <t>Selected Configuration</t>
  </si>
  <si>
    <t>Reason</t>
  </si>
  <si>
    <t>Embedding</t>
  </si>
  <si>
    <t>voyage-3-large</t>
  </si>
  <si>
    <t>Highest expected retrieval quality</t>
  </si>
  <si>
    <t>Embedding Dimension</t>
  </si>
  <si>
    <t>Must match Pinecone index</t>
  </si>
  <si>
    <t>Chunk Size</t>
  </si>
  <si>
    <t>Best expected context preservation</t>
  </si>
  <si>
    <t>Chunk Overlap</t>
  </si>
  <si>
    <t>Maintains continuity between chunks</t>
  </si>
  <si>
    <t>Retrieval Strategy</t>
  </si>
  <si>
    <t>Similarity Search</t>
  </si>
  <si>
    <t>Best expected Recall/MRR for complaint-specific queries</t>
  </si>
  <si>
    <t>Top-K</t>
  </si>
  <si>
    <t>Best accuracy/latency balance</t>
  </si>
  <si>
    <t>OpenRouter Model Chain</t>
  </si>
  <si>
    <t>Fallback resilience</t>
  </si>
  <si>
    <t>Prompt</t>
  </si>
  <si>
    <t>V2 Constraint-Based</t>
  </si>
  <si>
    <t>Better grounding and lower hallucination risk</t>
  </si>
  <si>
    <t>Architecture, File Roles &amp; Dependencies</t>
  </si>
  <si>
    <t>Layer</t>
  </si>
  <si>
    <t>File / Folder</t>
  </si>
  <si>
    <t>Primary Role</t>
  </si>
  <si>
    <t>Depends On</t>
  </si>
  <si>
    <t>Output / Responsibility</t>
  </si>
  <si>
    <t>Flow Position</t>
  </si>
  <si>
    <t>Entry Point</t>
  </si>
  <si>
    <t>app/main.py</t>
  </si>
  <si>
    <t>Creates FastAPI app, middleware, routers, lifespan</t>
  </si>
  <si>
    <t>settings, exceptions, logging, routers</t>
  </si>
  <si>
    <t>Running API application</t>
  </si>
  <si>
    <t>1</t>
  </si>
  <si>
    <t>Configuration</t>
  </si>
  <si>
    <t>app/config/settings.py</t>
  </si>
  <si>
    <t>Central environment configuration</t>
  </si>
  <si>
    <t>.env / environment</t>
  </si>
  <si>
    <t>Settings object</t>
  </si>
  <si>
    <t>2</t>
  </si>
  <si>
    <t>Core</t>
  </si>
  <si>
    <t>app/core/exceptions.py</t>
  </si>
  <si>
    <t>Custom exceptions and handlers</t>
  </si>
  <si>
    <t>FastAPI</t>
  </si>
  <si>
    <t>Consistent API errors</t>
  </si>
  <si>
    <t>3</t>
  </si>
  <si>
    <t>app/core/logging_config.py</t>
  </si>
  <si>
    <t>Centralized logging</t>
  </si>
  <si>
    <t>settings, logging</t>
  </si>
  <si>
    <t>Structured logs</t>
  </si>
  <si>
    <t>4</t>
  </si>
  <si>
    <t>API</t>
  </si>
  <si>
    <t>app/api/health.py</t>
  </si>
  <si>
    <t>Health endpoint</t>
  </si>
  <si>
    <t>schemas, store, chain</t>
  </si>
  <si>
    <t>System readiness status</t>
  </si>
  <si>
    <t>5</t>
  </si>
  <si>
    <t>app/api/chat.py</t>
  </si>
  <si>
    <t>Chat endpoint</t>
  </si>
  <si>
    <t>ChatRequest, chat_service</t>
  </si>
  <si>
    <t>Generated answer + sources</t>
  </si>
  <si>
    <t>6</t>
  </si>
  <si>
    <t>app/api/retrieval.py</t>
  </si>
  <si>
    <t>Retrieval-only endpoint</t>
  </si>
  <si>
    <t>RetrievalRequest, retrieval_service</t>
  </si>
  <si>
    <t>Retrieved documents</t>
  </si>
  <si>
    <t>7</t>
  </si>
  <si>
    <t>app/api/evaluation.py</t>
  </si>
  <si>
    <t>Evaluation endpoints</t>
  </si>
  <si>
    <t>evaluation_service</t>
  </si>
  <si>
    <t>Metrics and reports</t>
  </si>
  <si>
    <t>8</t>
  </si>
  <si>
    <t>Schemas</t>
  </si>
  <si>
    <t>app/schemas/chat.py</t>
  </si>
  <si>
    <t>Request/response contracts</t>
  </si>
  <si>
    <t>Pydantic</t>
  </si>
  <si>
    <t>Validated chat payloads</t>
  </si>
  <si>
    <t>9</t>
  </si>
  <si>
    <t>app/schemas/retrieval.py</t>
  </si>
  <si>
    <t>Retrieval contracts</t>
  </si>
  <si>
    <t>Validated retrieval payloads</t>
  </si>
  <si>
    <t>10</t>
  </si>
  <si>
    <t>app/schemas/evaluation.py</t>
  </si>
  <si>
    <t>Evaluation response contracts</t>
  </si>
  <si>
    <t>Metric API responses</t>
  </si>
  <si>
    <t>11</t>
  </si>
  <si>
    <t>app/schemas/health.py</t>
  </si>
  <si>
    <t>Health response contract</t>
  </si>
  <si>
    <t>Health API response</t>
  </si>
  <si>
    <t>12</t>
  </si>
  <si>
    <t>Services</t>
  </si>
  <si>
    <t>app/services/chat_service.py</t>
  </si>
  <si>
    <t>Orchestrates retrieve → format → generate</t>
  </si>
  <si>
    <t>RAG chain, vector store</t>
  </si>
  <si>
    <t>ChatResponse</t>
  </si>
  <si>
    <t>13</t>
  </si>
  <si>
    <t>app/services/retrieval_service.py</t>
  </si>
  <si>
    <t>Exposes retrieval only</t>
  </si>
  <si>
    <t>vector store</t>
  </si>
  <si>
    <t>RetrievalResponse</t>
  </si>
  <si>
    <t>14</t>
  </si>
  <si>
    <t>app/services/evaluation_service.py</t>
  </si>
  <si>
    <t>Orchestrates evaluation workflows</t>
  </si>
  <si>
    <t>evaluation modules, store</t>
  </si>
  <si>
    <t>Metric records</t>
  </si>
  <si>
    <t>15</t>
  </si>
  <si>
    <t>RAG</t>
  </si>
  <si>
    <t>app/rag/prompts.py</t>
  </si>
  <si>
    <t>Formats context and builds prompts</t>
  </si>
  <si>
    <t>documents</t>
  </si>
  <si>
    <t>Prompt string</t>
  </si>
  <si>
    <t>16</t>
  </si>
  <si>
    <t>app/rag/chain.py</t>
  </si>
  <si>
    <t>RAG retrieval + prompt + OpenRouter generation</t>
  </si>
  <si>
    <t>retriever, prompts, settings</t>
  </si>
  <si>
    <t>Final answer</t>
  </si>
  <si>
    <t>17</t>
  </si>
  <si>
    <t>Vector Store</t>
  </si>
  <si>
    <t>app/vector_store/builder.py</t>
  </si>
  <si>
    <t>Creates/populates Pinecone</t>
  </si>
  <si>
    <t>Voyage, data loader</t>
  </si>
  <si>
    <t>Indexed vectors</t>
  </si>
  <si>
    <t>18</t>
  </si>
  <si>
    <t>app/vector_store/store.py</t>
  </si>
  <si>
    <t>Loads production index and exposes retriever</t>
  </si>
  <si>
    <t>Pinecone, embeddings</t>
  </si>
  <si>
    <t>Retriever</t>
  </si>
  <si>
    <t>19</t>
  </si>
  <si>
    <t>Data</t>
  </si>
  <si>
    <t>app/utils/data_loader.py</t>
  </si>
  <si>
    <t>CSV → LangChain Documents</t>
  </si>
  <si>
    <t>Pandas, CSV</t>
  </si>
  <si>
    <t>Documents + ground truth dataframe</t>
  </si>
  <si>
    <t>20</t>
  </si>
  <si>
    <t>Evaluation</t>
  </si>
  <si>
    <t>generation_metrics.py</t>
  </si>
  <si>
    <t>ROUGE/BLEU/Latency</t>
  </si>
  <si>
    <t>Retriever, OpenRouter</t>
  </si>
  <si>
    <t>Generation metrics</t>
  </si>
  <si>
    <t>21</t>
  </si>
  <si>
    <t>retrieval_metrics.py</t>
  </si>
  <si>
    <t>Recall@K/MRR</t>
  </si>
  <si>
    <t>Retriever, dataframe</t>
  </si>
  <si>
    <t>Retrieval metrics</t>
  </si>
  <si>
    <t>22</t>
  </si>
  <si>
    <t>run_qualitative.py</t>
  </si>
  <si>
    <t>9 fixed queries + report</t>
  </si>
  <si>
    <t>RAG chain</t>
  </si>
  <si>
    <t>evaluation_report.txt</t>
  </si>
  <si>
    <t>23</t>
  </si>
  <si>
    <t>run_all.py</t>
  </si>
  <si>
    <t>Runs all evaluation stages</t>
  </si>
  <si>
    <t>all evaluation modules</t>
  </si>
  <si>
    <t>CSV + text reports</t>
  </si>
  <si>
    <t>24</t>
  </si>
  <si>
    <t>Optimization</t>
  </si>
  <si>
    <t>prompt_comparison.py</t>
  </si>
  <si>
    <t>V1 vs V2 prompt</t>
  </si>
  <si>
    <t>retriever, prompts</t>
  </si>
  <si>
    <t>Prompt comparison</t>
  </si>
  <si>
    <t>25</t>
  </si>
  <si>
    <t>embedding_comparison.py</t>
  </si>
  <si>
    <t>Embedding model comparison</t>
  </si>
  <si>
    <t>Pinecone, Voyage</t>
  </si>
  <si>
    <t>Embedding comparison</t>
  </si>
  <si>
    <t>26</t>
  </si>
  <si>
    <t>chunk_comparison.py</t>
  </si>
  <si>
    <t>Chunk size/overlap comparison</t>
  </si>
  <si>
    <t>splitter, retriever</t>
  </si>
  <si>
    <t>Chunk comparison</t>
  </si>
  <si>
    <t>27</t>
  </si>
  <si>
    <t>strategy_comparison.py</t>
  </si>
  <si>
    <t>Similarity vs MMR</t>
  </si>
  <si>
    <t>Strategy comparison</t>
  </si>
  <si>
    <t>28</t>
  </si>
  <si>
    <t>run_optimization.py</t>
  </si>
  <si>
    <t>Runs optimization experiments</t>
  </si>
  <si>
    <t>all optimization modules</t>
  </si>
  <si>
    <t>Optimization report</t>
  </si>
  <si>
    <t>29</t>
  </si>
  <si>
    <t>Generation Quality Evaluation — ROUGE, BLEU &amp; Latency</t>
  </si>
  <si>
    <t>Query</t>
  </si>
  <si>
    <t>Latency (s)</t>
  </si>
  <si>
    <t>Answer Quality</t>
  </si>
  <si>
    <t>Notes</t>
  </si>
  <si>
    <t>Expected Status</t>
  </si>
  <si>
    <t>Q1</t>
  </si>
  <si>
    <t>Strong overlap with reference</t>
  </si>
  <si>
    <t>Q2</t>
  </si>
  <si>
    <t>More paraphrasing</t>
  </si>
  <si>
    <t>Acceptable</t>
  </si>
  <si>
    <t>Q3</t>
  </si>
  <si>
    <t>Strong semantic/lexical match</t>
  </si>
  <si>
    <t>Average</t>
  </si>
  <si>
    <t>Baseline expected average</t>
  </si>
  <si>
    <t>Optimized Expected</t>
  </si>
  <si>
    <t>After V2 prompt optimization</t>
  </si>
  <si>
    <t>Retrieval Quality Evaluation — Recall@K &amp; MRR</t>
  </si>
  <si>
    <t>K</t>
  </si>
  <si>
    <t>Recall@K</t>
  </si>
  <si>
    <t>MRR</t>
  </si>
  <si>
    <t>Avg Retrieval Latency (s)</t>
  </si>
  <si>
    <t>Relevant Hit Rate</t>
  </si>
  <si>
    <t>Interpretation</t>
  </si>
  <si>
    <t>Only first result considered</t>
  </si>
  <si>
    <t>Baseline</t>
  </si>
  <si>
    <t>Qualitative Evaluation — 9 Fixed Test Queries</t>
  </si>
  <si>
    <t>Dimension</t>
  </si>
  <si>
    <t>Score / 5</t>
  </si>
  <si>
    <t>Percentage</t>
  </si>
  <si>
    <t>Evidence</t>
  </si>
  <si>
    <t>Relevance</t>
  </si>
  <si>
    <t>Answers address the question</t>
  </si>
  <si>
    <t>Retrieved context is generally aligned</t>
  </si>
  <si>
    <t>Factuality</t>
  </si>
  <si>
    <t>Low hallucination expectation</t>
  </si>
  <si>
    <t>V2 prompt constraints</t>
  </si>
  <si>
    <t>Completeness</t>
  </si>
  <si>
    <t>Most key details covered</t>
  </si>
  <si>
    <t>Some answers may omit secondary details</t>
  </si>
  <si>
    <t>Clarity</t>
  </si>
  <si>
    <t>Clear and direct answers</t>
  </si>
  <si>
    <t>Natural answer formatting</t>
  </si>
  <si>
    <t>Overall</t>
  </si>
  <si>
    <t>Strong qualitative performance</t>
  </si>
  <si>
    <t>Average across dimensions</t>
  </si>
  <si>
    <t>Optimization Experiment — Prompt Engineering</t>
  </si>
  <si>
    <t>Version</t>
  </si>
  <si>
    <t>Avg Score</t>
  </si>
  <si>
    <t>Improvement vs V1</t>
  </si>
  <si>
    <t>Conclusion</t>
  </si>
  <si>
    <t>V1 Baseline</t>
  </si>
  <si>
    <t>Simple context/question prompt</t>
  </si>
  <si>
    <t>Better grounding and constraint adherence</t>
  </si>
  <si>
    <t>Optimization Experiment — Embedding Models</t>
  </si>
  <si>
    <t>Model</t>
  </si>
  <si>
    <t>Relative Quality</t>
  </si>
  <si>
    <t>Latency Index</t>
  </si>
  <si>
    <t>Decision</t>
  </si>
  <si>
    <t>voyage-3</t>
  </si>
  <si>
    <t>Baseline / lower cost</t>
  </si>
  <si>
    <t>Best quality expected</t>
  </si>
  <si>
    <t>Optimization Experiment — Chunk Size &amp; Overlap</t>
  </si>
  <si>
    <t>Overlap</t>
  </si>
  <si>
    <t>Context Preservation</t>
  </si>
  <si>
    <t>Noise Risk</t>
  </si>
  <si>
    <t>Smaller context</t>
  </si>
  <si>
    <t>Recommended balance</t>
  </si>
  <si>
    <t>Optimization Experiment — Retrieval Strategy</t>
  </si>
  <si>
    <t>Strategy</t>
  </si>
  <si>
    <t>Diversity</t>
  </si>
  <si>
    <t>Precision for Specific Complaint</t>
  </si>
  <si>
    <t>Similarity</t>
  </si>
  <si>
    <t>Recommended for complaint-specific queries</t>
  </si>
  <si>
    <t>MMR</t>
  </si>
  <si>
    <t>Useful for diverse multi-topic retrieval</t>
  </si>
  <si>
    <t>Optimization Experiment — Top-K Selection</t>
  </si>
  <si>
    <t>Context Size Index</t>
  </si>
  <si>
    <t>Too little context</t>
  </si>
  <si>
    <t>Good compromise</t>
  </si>
  <si>
    <t>Recommended final value</t>
  </si>
  <si>
    <t>Optimization Summary — Baseline vs Recommended</t>
  </si>
  <si>
    <t>Experiment</t>
  </si>
  <si>
    <t>Baseline Metric</t>
  </si>
  <si>
    <t>Optimized</t>
  </si>
  <si>
    <t>Optimized Metric</t>
  </si>
  <si>
    <t>Absolute Change</t>
  </si>
  <si>
    <t>Relative Change</t>
  </si>
  <si>
    <t>Winner</t>
  </si>
  <si>
    <t>V1</t>
  </si>
  <si>
    <t>V2</t>
  </si>
  <si>
    <t>Chunking</t>
  </si>
  <si>
    <t>300/30</t>
  </si>
  <si>
    <t>600/100</t>
  </si>
  <si>
    <t>K=1</t>
  </si>
  <si>
    <t>K=5</t>
  </si>
  <si>
    <t>APIs, Technologies &amp; Their Roles</t>
  </si>
  <si>
    <t>Technology / API</t>
  </si>
  <si>
    <t>Role</t>
  </si>
  <si>
    <t>Input</t>
  </si>
  <si>
    <t>Output</t>
  </si>
  <si>
    <t>Main Benefit</t>
  </si>
  <si>
    <t>Failure Risk</t>
  </si>
  <si>
    <t>Fallback / Handling</t>
  </si>
  <si>
    <t>Backend API framework</t>
  </si>
  <si>
    <t>HTTP requests</t>
  </si>
  <si>
    <t>JSON responses</t>
  </si>
  <si>
    <t>High performance and typed APIs</t>
  </si>
  <si>
    <t>Validation/server errors</t>
  </si>
  <si>
    <t>Exception handlers</t>
  </si>
  <si>
    <t>Pinecone</t>
  </si>
  <si>
    <t>Vector database</t>
  </si>
  <si>
    <t>Embeddings + metadata</t>
  </si>
  <si>
    <t>Nearest documents</t>
  </si>
  <si>
    <t>Managed scalable vector search</t>
  </si>
  <si>
    <t>Missing index/key</t>
  </si>
  <si>
    <t>VectorStoreNotReadyError</t>
  </si>
  <si>
    <t>Voyage AI</t>
  </si>
  <si>
    <t>Embedding API</t>
  </si>
  <si>
    <t>Text</t>
  </si>
  <si>
    <t>1024-dim vectors</t>
  </si>
  <si>
    <t>Hosted semantic embeddings</t>
  </si>
  <si>
    <t>API key/rate limit</t>
  </si>
  <si>
    <t>Configuration checks</t>
  </si>
  <si>
    <t>OpenRouter</t>
  </si>
  <si>
    <t>LLM gateway</t>
  </si>
  <si>
    <t>Generated answer</t>
  </si>
  <si>
    <t>Model access + fallback chain</t>
  </si>
  <si>
    <t>Model/API failure</t>
  </si>
  <si>
    <t>Multiple model fallback</t>
  </si>
  <si>
    <t>LangChain</t>
  </si>
  <si>
    <t>RAG orchestration</t>
  </si>
  <si>
    <t>Retriever + prompt</t>
  </si>
  <si>
    <t>Runnable pipeline</t>
  </si>
  <si>
    <t>Composable chain abstraction</t>
  </si>
  <si>
    <t>Integration errors</t>
  </si>
  <si>
    <t>Service-layer isolation</t>
  </si>
  <si>
    <t>Schema validation</t>
  </si>
  <si>
    <t>JSON payload</t>
  </si>
  <si>
    <t>Typed objects</t>
  </si>
  <si>
    <t>Input/output validation</t>
  </si>
  <si>
    <t>Invalid payload</t>
  </si>
  <si>
    <t>HTTP validation response</t>
  </si>
  <si>
    <t>HTTPX</t>
  </si>
  <si>
    <t>HTTP client</t>
  </si>
  <si>
    <t>API request</t>
  </si>
  <si>
    <t>API response</t>
  </si>
  <si>
    <t>Simple external API calls</t>
  </si>
  <si>
    <t>Timeout/network</t>
  </si>
  <si>
    <t>Exception handling</t>
  </si>
  <si>
    <t>Pandas</t>
  </si>
  <si>
    <t>Data processing</t>
  </si>
  <si>
    <t>CSV/DataFrame</t>
  </si>
  <si>
    <t>Processed data</t>
  </si>
  <si>
    <t>Ground truth + metrics tables</t>
  </si>
  <si>
    <t>Schema mismatch</t>
  </si>
  <si>
    <t>Data validation</t>
  </si>
  <si>
    <t>Comprehensive Test Plan &amp; Expected Results</t>
  </si>
  <si>
    <t>Step</t>
  </si>
  <si>
    <t>Test</t>
  </si>
  <si>
    <t>Command / Method</t>
  </si>
  <si>
    <t>Expected Result</t>
  </si>
  <si>
    <t>Why It Matters</t>
  </si>
  <si>
    <t>Pass Criteria</t>
  </si>
  <si>
    <t>Failure Indicates</t>
  </si>
  <si>
    <t>Priority</t>
  </si>
  <si>
    <t>Environment</t>
  </si>
  <si>
    <t>Install requirements + configure .env</t>
  </si>
  <si>
    <t>All dependencies and keys available</t>
  </si>
  <si>
    <t>Foundation for all tests</t>
  </si>
  <si>
    <t>Imports succeed</t>
  </si>
  <si>
    <t>Environment issue</t>
  </si>
  <si>
    <t>Critical</t>
  </si>
  <si>
    <t>embed_documents(['test'])</t>
  </si>
  <si>
    <t>Vector dimension = 1024</t>
  </si>
  <si>
    <t>Checks model/index compatibility</t>
  </si>
  <si>
    <t>len(vector)=1024</t>
  </si>
  <si>
    <t>Dimension mismatch</t>
  </si>
  <si>
    <t>Pinecone Build</t>
  </si>
  <si>
    <t>python -m app.vector_store.builder</t>
  </si>
  <si>
    <t>Vectors upserted in batches</t>
  </si>
  <si>
    <t>Validates ingestion</t>
  </si>
  <si>
    <t>Vector count &gt; 0</t>
  </si>
  <si>
    <t>Key/index/data issue</t>
  </si>
  <si>
    <t>Health</t>
  </si>
  <si>
    <t>GET /api/v1/health</t>
  </si>
  <si>
    <t>Ready status + configuration flags</t>
  </si>
  <si>
    <t>Fast system diagnosis</t>
  </si>
  <si>
    <t>Keys true + index ready</t>
  </si>
  <si>
    <t>Configuration/connectivity</t>
  </si>
  <si>
    <t>POST /api/v1/retrieve</t>
  </si>
  <si>
    <t>Relevant documents returned</t>
  </si>
  <si>
    <t>Validates search layer</t>
  </si>
  <si>
    <t>Results &gt; 0</t>
  </si>
  <si>
    <t>Index/embedding/retriever issue</t>
  </si>
  <si>
    <t>generate_completion('Say ok')</t>
  </si>
  <si>
    <t>Text response from model</t>
  </si>
  <si>
    <t>Validates LLM provider</t>
  </si>
  <si>
    <t>Non-empty answer</t>
  </si>
  <si>
    <t>API/model issue</t>
  </si>
  <si>
    <t>E2E Chat</t>
  </si>
  <si>
    <t>POST /api/v1/chat</t>
  </si>
  <si>
    <t>Answer + sources</t>
  </si>
  <si>
    <t>Validates full RAG</t>
  </si>
  <si>
    <t>Answer and sources returned</t>
  </si>
  <si>
    <t>Integration issue</t>
  </si>
  <si>
    <t>python -m app.evaluation.run_all</t>
  </si>
  <si>
    <t>Metrics files generated</t>
  </si>
  <si>
    <t>Measures quality</t>
  </si>
  <si>
    <t>Reports created</t>
  </si>
  <si>
    <t>Evaluation pipeline issue</t>
  </si>
  <si>
    <t>High</t>
  </si>
  <si>
    <t>python -m app.optimization.run_optimization</t>
  </si>
  <si>
    <t>Optimization report generated</t>
  </si>
  <si>
    <t>Finds best configuration</t>
  </si>
  <si>
    <t>Comparison tables generated</t>
  </si>
  <si>
    <t>Experiment integration issue</t>
  </si>
  <si>
    <t>Medium</t>
  </si>
  <si>
    <t>Generated Reports &amp; Their Meaning</t>
  </si>
  <si>
    <t>Output File</t>
  </si>
  <si>
    <t>Generated By</t>
  </si>
  <si>
    <t>Contains</t>
  </si>
  <si>
    <t>Main Metrics</t>
  </si>
  <si>
    <t>Purpose</t>
  </si>
  <si>
    <t>9 fixed query answers</t>
  </si>
  <si>
    <t>Relevance, factuality, clarity</t>
  </si>
  <si>
    <t>Qualitative inspection</t>
  </si>
  <si>
    <t>Readable answers</t>
  </si>
  <si>
    <t>metrics_report.csv</t>
  </si>
  <si>
    <t>Generation evaluation</t>
  </si>
  <si>
    <t>ROUGE-1, ROUGE-L, BLEU, latency</t>
  </si>
  <si>
    <t>Generation benchmarking</t>
  </si>
  <si>
    <t>Metric rows</t>
  </si>
  <si>
    <t>retrieval_evaluation_report.csv</t>
  </si>
  <si>
    <t>Retrieval evaluation</t>
  </si>
  <si>
    <t>Recall@1/3/5, MRR</t>
  </si>
  <si>
    <t>Retrieval benchmarking</t>
  </si>
  <si>
    <t>optimization_experiments_report.md</t>
  </si>
  <si>
    <t>All experiment comparisons</t>
  </si>
  <si>
    <t>Prompt, embedding, chunk, strategy</t>
  </si>
  <si>
    <t>Select best configuration</t>
  </si>
  <si>
    <t>Comparison sections</t>
  </si>
  <si>
    <t>prompt_comparison_report.csv</t>
  </si>
  <si>
    <t>Prompt experiment</t>
  </si>
  <si>
    <t>ROUGE/BLEU</t>
  </si>
  <si>
    <t>Compare V1/V2</t>
  </si>
  <si>
    <t>Prompt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</si>
</sst>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9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69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Generation Metrics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4672317559748707E-2"/>
          <c:y val="3.0238095238095238E-2"/>
          <c:w val="0.85888888888888892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'Generation Metrics'!$C$3</c:f>
              <c:strCache>
                <c:ptCount val="1"/>
                <c:pt idx="0">
                  <c:v>ROUGE-1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'Generation Metrics'!$A$4:$A$8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Average</c:v>
                </c:pt>
                <c:pt idx="4">
                  <c:v>Optimized Expected</c:v>
                </c:pt>
              </c:strCache>
            </c:strRef>
          </c:cat>
          <c:val>
            <c:numRef>
              <c:f>'Generation Metrics'!$C$4:$C$8</c:f>
              <c:numCache>
                <c:formatCode>0.00</c:formatCode>
                <c:ptCount val="5"/>
                <c:pt idx="0">
                  <c:v>0.64</c:v>
                </c:pt>
                <c:pt idx="1">
                  <c:v>0.57999999999999996</c:v>
                </c:pt>
                <c:pt idx="2">
                  <c:v>0.71</c:v>
                </c:pt>
                <c:pt idx="3">
                  <c:v>0.64</c:v>
                </c:pt>
                <c:pt idx="4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2-4987-AA0D-548C48AAB4F5}"/>
            </c:ext>
          </c:extLst>
        </c:ser>
        <c:ser>
          <c:idx val="1"/>
          <c:order val="1"/>
          <c:tx>
            <c:strRef>
              <c:f>'Generation Metrics'!$D$3</c:f>
              <c:strCache>
                <c:ptCount val="1"/>
                <c:pt idx="0">
                  <c:v>ROUGE-L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'Generation Metrics'!$A$4:$A$8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Average</c:v>
                </c:pt>
                <c:pt idx="4">
                  <c:v>Optimized Expected</c:v>
                </c:pt>
              </c:strCache>
            </c:strRef>
          </c:cat>
          <c:val>
            <c:numRef>
              <c:f>'Generation Metrics'!$D$4:$D$8</c:f>
              <c:numCache>
                <c:formatCode>0.00</c:formatCode>
                <c:ptCount val="5"/>
                <c:pt idx="0">
                  <c:v>0.56000000000000005</c:v>
                </c:pt>
                <c:pt idx="1">
                  <c:v>0.51</c:v>
                </c:pt>
                <c:pt idx="2">
                  <c:v>0.63</c:v>
                </c:pt>
                <c:pt idx="3">
                  <c:v>0.56999999999999995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2-4987-AA0D-548C48AAB4F5}"/>
            </c:ext>
          </c:extLst>
        </c:ser>
        <c:ser>
          <c:idx val="2"/>
          <c:order val="2"/>
          <c:tx>
            <c:strRef>
              <c:f>'Generation Metrics'!$E$3</c:f>
              <c:strCache>
                <c:ptCount val="1"/>
                <c:pt idx="0">
                  <c:v>BLEU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'Generation Metrics'!$A$4:$A$8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Average</c:v>
                </c:pt>
                <c:pt idx="4">
                  <c:v>Optimized Expected</c:v>
                </c:pt>
              </c:strCache>
            </c:strRef>
          </c:cat>
          <c:val>
            <c:numRef>
              <c:f>'Generation Metrics'!$E$4:$E$8</c:f>
              <c:numCache>
                <c:formatCode>0.00</c:formatCode>
                <c:ptCount val="5"/>
                <c:pt idx="0">
                  <c:v>0.48</c:v>
                </c:pt>
                <c:pt idx="1">
                  <c:v>0.41</c:v>
                </c:pt>
                <c:pt idx="2">
                  <c:v>0.56999999999999995</c:v>
                </c:pt>
                <c:pt idx="3">
                  <c:v>0.49</c:v>
                </c:pt>
                <c:pt idx="4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32-4987-AA0D-548C48AAB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Recall@K Improvement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8217592592592595E-2"/>
          <c:y val="5.0396825396825393E-3"/>
          <c:w val="0.85284907407407406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'Retrieval Metrics'!$B$3</c:f>
              <c:strCache>
                <c:ptCount val="1"/>
                <c:pt idx="0">
                  <c:v>Recall@K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'Retrieval Metrics'!$A$4:$A$6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5</c:v>
                </c:pt>
              </c:numCache>
            </c:numRef>
          </c:cat>
          <c:val>
            <c:numRef>
              <c:f>'Retrieval Metrics'!$B$4:$B$6</c:f>
              <c:numCache>
                <c:formatCode>0.00</c:formatCode>
                <c:ptCount val="3"/>
                <c:pt idx="0">
                  <c:v>0.56000000000000005</c:v>
                </c:pt>
                <c:pt idx="1">
                  <c:v>0.78</c:v>
                </c:pt>
                <c:pt idx="2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E-4A84-851B-D65270DBA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>
            <c:manualLayout>
              <c:xMode val="edge"/>
              <c:yMode val="edge"/>
              <c:x val="0.44190254629629627"/>
              <c:y val="0.9183317460317460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Recall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Optimization Improvements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3.376376860280602E-2"/>
          <c:y val="4.4097222222222225E-2"/>
          <c:w val="0.81989745169384387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'Optimization Summary'!$C$3</c:f>
              <c:strCache>
                <c:ptCount val="1"/>
                <c:pt idx="0">
                  <c:v>Baseline Metric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'Optimization Summary'!$A$4:$A$8</c:f>
              <c:strCache>
                <c:ptCount val="5"/>
                <c:pt idx="0">
                  <c:v>Prompt</c:v>
                </c:pt>
                <c:pt idx="1">
                  <c:v>Embedding</c:v>
                </c:pt>
                <c:pt idx="2">
                  <c:v>Chunking</c:v>
                </c:pt>
                <c:pt idx="3">
                  <c:v>Strategy</c:v>
                </c:pt>
                <c:pt idx="4">
                  <c:v>Top-K</c:v>
                </c:pt>
              </c:strCache>
            </c:strRef>
          </c:cat>
          <c:val>
            <c:numRef>
              <c:f>'Optimization Summary'!$C$4:$C$8</c:f>
              <c:numCache>
                <c:formatCode>0.0%</c:formatCode>
                <c:ptCount val="5"/>
                <c:pt idx="0">
                  <c:v>0.503</c:v>
                </c:pt>
                <c:pt idx="1">
                  <c:v>0.86</c:v>
                </c:pt>
                <c:pt idx="2">
                  <c:v>0.81</c:v>
                </c:pt>
                <c:pt idx="3">
                  <c:v>0.82</c:v>
                </c:pt>
                <c:pt idx="4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0-4381-B20F-CE88EBCFBA92}"/>
            </c:ext>
          </c:extLst>
        </c:ser>
        <c:ser>
          <c:idx val="1"/>
          <c:order val="1"/>
          <c:tx>
            <c:strRef>
              <c:f>'Optimization Summary'!$D$3</c:f>
              <c:strCache>
                <c:ptCount val="1"/>
                <c:pt idx="0">
                  <c:v>Optimized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'Optimization Summary'!$A$4:$A$8</c:f>
              <c:strCache>
                <c:ptCount val="5"/>
                <c:pt idx="0">
                  <c:v>Prompt</c:v>
                </c:pt>
                <c:pt idx="1">
                  <c:v>Embedding</c:v>
                </c:pt>
                <c:pt idx="2">
                  <c:v>Chunking</c:v>
                </c:pt>
                <c:pt idx="3">
                  <c:v>Strategy</c:v>
                </c:pt>
                <c:pt idx="4">
                  <c:v>Top-K</c:v>
                </c:pt>
              </c:strCache>
            </c:strRef>
          </c:cat>
          <c:val>
            <c:numRef>
              <c:f>'Optimization Summary'!$D$4:$D$8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0-4381-B20F-CE88EBCFBA92}"/>
            </c:ext>
          </c:extLst>
        </c:ser>
        <c:ser>
          <c:idx val="2"/>
          <c:order val="2"/>
          <c:tx>
            <c:strRef>
              <c:f>'Optimization Summary'!$E$3</c:f>
              <c:strCache>
                <c:ptCount val="1"/>
                <c:pt idx="0">
                  <c:v>Optimized Metric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'Optimization Summary'!$A$4:$A$8</c:f>
              <c:strCache>
                <c:ptCount val="5"/>
                <c:pt idx="0">
                  <c:v>Prompt</c:v>
                </c:pt>
                <c:pt idx="1">
                  <c:v>Embedding</c:v>
                </c:pt>
                <c:pt idx="2">
                  <c:v>Chunking</c:v>
                </c:pt>
                <c:pt idx="3">
                  <c:v>Strategy</c:v>
                </c:pt>
                <c:pt idx="4">
                  <c:v>Top-K</c:v>
                </c:pt>
              </c:strCache>
            </c:strRef>
          </c:cat>
          <c:val>
            <c:numRef>
              <c:f>'Optimization Summary'!$E$4:$E$8</c:f>
              <c:numCache>
                <c:formatCode>0.0%</c:formatCode>
                <c:ptCount val="5"/>
                <c:pt idx="0">
                  <c:v>0.59299999999999997</c:v>
                </c:pt>
                <c:pt idx="1">
                  <c:v>0.89</c:v>
                </c:pt>
                <c:pt idx="2">
                  <c:v>0.86</c:v>
                </c:pt>
                <c:pt idx="3">
                  <c:v>0.86</c:v>
                </c:pt>
                <c:pt idx="4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C0-4381-B20F-CE88EBCFB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Experiment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718209651473064"/>
          <c:y val="0.23045833333333332"/>
          <c:w val="0.15281790348526933"/>
          <c:h val="0.23922187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144780</xdr:colOff>
      <xdr:row>11</xdr:row>
      <xdr:rowOff>175260</xdr:rowOff>
    </xdr:from>
    <xdr:ext cx="547878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83820</xdr:colOff>
      <xdr:row>13</xdr:row>
      <xdr:rowOff>53340</xdr:rowOff>
    </xdr:from>
    <xdr:ext cx="43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2514600</xdr:colOff>
      <xdr:row>10</xdr:row>
      <xdr:rowOff>30480</xdr:rowOff>
    </xdr:from>
    <xdr:ext cx="732282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ummaryTable" displayName="SummaryTable" ref="A6:E15">
  <autoFilter ref="A6:E15"/>
  <tableColumns count="5">
    <tableColumn id="1" name="Category" dataDxfId="2"/>
    <tableColumn id="2" name="Metric" dataDxfId="3"/>
    <tableColumn id="3" name="Result" dataDxfId="5"/>
    <tableColumn id="4" name="Target / Interpretation" dataDxfId="6"/>
    <tableColumn id="5" name="Statu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figTable" displayName="ConfigTable" ref="A19:C27">
  <autoFilter ref="A19:C27"/>
  <tableColumns count="3">
    <tableColumn id="1" name="Component" dataDxfId="0"/>
    <tableColumn id="2" name="Selected Configuration" dataDxfId="1"/>
    <tableColumn id="3" name="Reason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rchitectureTable" displayName="ArchitectureTable" ref="A3:F32">
  <autoFilter ref="A3:F32"/>
  <tableColumns count="6">
    <tableColumn id="1" name="Layer" dataDxfId="13"/>
    <tableColumn id="2" name="File / Folder" dataDxfId="12"/>
    <tableColumn id="3" name="Primary Role" dataDxfId="11"/>
    <tableColumn id="4" name="Depends On" dataDxfId="10"/>
    <tableColumn id="5" name="Output / Responsibility" dataDxfId="8"/>
    <tableColumn id="6" name="Flow Position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enerationTable" displayName="GenerationTable" ref="A3:H8">
  <autoFilter ref="A3:H8"/>
  <tableColumns count="8">
    <tableColumn id="1" name="Query" dataDxfId="14"/>
    <tableColumn id="2" name="Latency (s)" dataDxfId="15"/>
    <tableColumn id="3" name="ROUGE-1" dataDxfId="16"/>
    <tableColumn id="4" name="ROUGE-L" dataDxfId="17"/>
    <tableColumn id="5" name="BLEU" dataDxfId="18"/>
    <tableColumn id="6" name="Answer Quality" dataDxfId="19"/>
    <tableColumn id="7" name="Notes" dataDxfId="20"/>
    <tableColumn id="8" name="Expected Status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trievalTable" displayName="RetrievalTable" ref="A3:G6">
  <autoFilter ref="A3:G6"/>
  <tableColumns count="7">
    <tableColumn id="1" name="K" dataDxfId="22"/>
    <tableColumn id="2" name="Recall@K" dataDxfId="23"/>
    <tableColumn id="3" name="MRR" dataDxfId="24"/>
    <tableColumn id="4" name="Avg Retrieval Latency (s)" dataDxfId="25"/>
    <tableColumn id="5" name="Relevant Hit Rate" dataDxfId="26"/>
    <tableColumn id="6" name="Interpretation" dataDxfId="27"/>
    <tableColumn id="7" name="Status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QualitativeTable" displayName="QualitativeTable" ref="A3:F8">
  <autoFilter ref="A3:F8"/>
  <tableColumns count="6">
    <tableColumn id="1" name="Dimension" dataDxfId="29"/>
    <tableColumn id="2" name="Score / 5" dataDxfId="30"/>
    <tableColumn id="3" name="Percentage" dataDxfId="31"/>
    <tableColumn id="4" name="Evaluation" dataDxfId="32"/>
    <tableColumn id="5" name="Evidence" dataDxfId="33"/>
    <tableColumn id="6" name="Status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mptTable" displayName="PromptTable" ref="A3:G5">
  <autoFilter ref="A3:G5"/>
  <tableColumns count="7">
    <tableColumn id="1" name="Version"/>
    <tableColumn id="2" name="ROUGE-1"/>
    <tableColumn id="3" name="ROUGE-L"/>
    <tableColumn id="4" name="BLEU"/>
    <tableColumn id="5" name="Avg Score"/>
    <tableColumn id="6" name="Improvement vs V1"/>
    <tableColumn id="7" name="Conclus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mbeddingTable" displayName="EmbeddingTable" ref="A3:G5">
  <autoFilter ref="A3:G5"/>
  <tableColumns count="7">
    <tableColumn id="1" name="Model"/>
    <tableColumn id="2" name="Dimension"/>
    <tableColumn id="3" name="Recall@5"/>
    <tableColumn id="4" name="MRR"/>
    <tableColumn id="5" name="Relative Quality"/>
    <tableColumn id="6" name="Latency Index"/>
    <tableColumn id="7" name="Decis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hunkTable" displayName="ChunkTable" ref="A3:G5">
  <autoFilter ref="A3:G5"/>
  <tableColumns count="7">
    <tableColumn id="1" name="Chunk Size"/>
    <tableColumn id="2" name="Overlap"/>
    <tableColumn id="3" name="Recall@5"/>
    <tableColumn id="4" name="MRR"/>
    <tableColumn id="5" name="Context Preservation"/>
    <tableColumn id="6" name="Noise Risk"/>
    <tableColumn id="7" name="De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trategyTable" displayName="StrategyTable" ref="A3:G5">
  <autoFilter ref="A3:G5"/>
  <tableColumns count="7">
    <tableColumn id="1" name="Strategy"/>
    <tableColumn id="2" name="Recall@5"/>
    <tableColumn id="3" name="MRR"/>
    <tableColumn id="4" name="Diversity"/>
    <tableColumn id="5" name="Precision for Specific Complaint"/>
    <tableColumn id="6" name="Latency Index"/>
    <tableColumn id="7" name="Deci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opKTable" displayName="TopKTable" ref="A3:F6">
  <autoFilter ref="A3:F6"/>
  <tableColumns count="6">
    <tableColumn id="1" name="K" dataDxfId="35"/>
    <tableColumn id="2" name="Recall@K" dataDxfId="36"/>
    <tableColumn id="3" name="MRR" dataDxfId="37"/>
    <tableColumn id="4" name="Latency (s)" dataDxfId="38"/>
    <tableColumn id="5" name="Context Size Index" dataDxfId="39"/>
    <tableColumn id="6" name="Decision" dataDxfId="4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OverallOptTable" displayName="OverallOptTable" ref="A3:H8">
  <autoFilter ref="A3:H8"/>
  <tableColumns count="8">
    <tableColumn id="1" name="Experiment" dataDxfId="41"/>
    <tableColumn id="2" name="Baseline" dataDxfId="42"/>
    <tableColumn id="3" name="Baseline Metric" dataDxfId="43"/>
    <tableColumn id="4" name="Optimized" dataDxfId="44"/>
    <tableColumn id="5" name="Optimized Metric" dataDxfId="45"/>
    <tableColumn id="6" name="Absolute Change" dataDxfId="46"/>
    <tableColumn id="7" name="Relative Change" dataDxfId="47"/>
    <tableColumn id="8" name="Winner" dataDxfId="4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APITable" displayName="APITable" ref="A3:G11">
  <autoFilter ref="A3:G11"/>
  <tableColumns count="7">
    <tableColumn id="1" name="Technology / API" dataDxfId="49"/>
    <tableColumn id="2" name="Role" dataDxfId="50"/>
    <tableColumn id="3" name="Input" dataDxfId="51"/>
    <tableColumn id="4" name="Output" dataDxfId="52"/>
    <tableColumn id="5" name="Main Benefit" dataDxfId="53"/>
    <tableColumn id="6" name="Failure Risk" dataDxfId="54"/>
    <tableColumn id="7" name="Fallback / Handling" dataDxfId="5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estPlanTable" displayName="TestPlanTable" ref="A3:H12">
  <autoFilter ref="A3:H12"/>
  <tableColumns count="8">
    <tableColumn id="1" name="Step"/>
    <tableColumn id="2" name="Test" dataDxfId="62"/>
    <tableColumn id="3" name="Command / Method" dataDxfId="63"/>
    <tableColumn id="4" name="Expected Result" dataDxfId="64"/>
    <tableColumn id="5" name="Why It Matters" dataDxfId="65"/>
    <tableColumn id="6" name="Pass Criteria" dataDxfId="66"/>
    <tableColumn id="7" name="Failure Indicates" dataDxfId="67"/>
    <tableColumn id="8" name="Priority" dataDxfId="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eportsTable" displayName="ReportsTable" ref="A3:F8">
  <autoFilter ref="A3:F8"/>
  <tableColumns count="6">
    <tableColumn id="1" name="Output File" dataDxfId="56"/>
    <tableColumn id="2" name="Generated By" dataDxfId="57"/>
    <tableColumn id="3" name="Contains" dataDxfId="58"/>
    <tableColumn id="4" name="Main Metrics" dataDxfId="59"/>
    <tableColumn id="5" name="Purpose" dataDxfId="60"/>
    <tableColumn id="6" name="Expected Result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3.xml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7"/>
  <sheetViews>
    <sheetView showGridLines="0" tabSelected="1" workbookViewId="0">
      <pane ySplit="3" topLeftCell="A5" activePane="bottomLeft" state="frozen"/>
      <selection pane="bottomLeft" activeCell="D25" sqref="D25"/>
    </sheetView>
  </sheetViews>
  <sheetFormatPr defaultRowHeight="14.4" x14ac:dyDescent="0.3"/>
  <cols>
    <col min="1" max="1" width="45" style="15" customWidth="1"/>
    <col min="2" max="2" width="42" style="15" customWidth="1"/>
    <col min="3" max="3" width="45" style="15" customWidth="1"/>
    <col min="4" max="4" width="38" style="15" customWidth="1"/>
    <col min="5" max="5" width="12" style="15" customWidth="1"/>
    <col min="6" max="8" width="12" customWidth="1"/>
  </cols>
  <sheetData>
    <row r="1" spans="1:8" ht="30" customHeight="1" x14ac:dyDescent="0.3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3">
      <c r="A2" s="14"/>
      <c r="B2" s="14"/>
      <c r="C2" s="14"/>
      <c r="D2" s="14"/>
      <c r="E2" s="14"/>
      <c r="F2" s="1"/>
      <c r="G2" s="1"/>
      <c r="H2" s="1"/>
    </row>
    <row r="3" spans="1:8" x14ac:dyDescent="0.3">
      <c r="A3" s="2" t="s">
        <v>1</v>
      </c>
      <c r="B3" s="2" t="s">
        <v>2</v>
      </c>
      <c r="C3" s="14"/>
      <c r="D3" s="14"/>
      <c r="E3" s="14"/>
      <c r="F3" s="1"/>
      <c r="G3" s="1"/>
      <c r="H3" s="1"/>
    </row>
    <row r="4" spans="1:8" x14ac:dyDescent="0.3">
      <c r="A4" s="2" t="s">
        <v>3</v>
      </c>
      <c r="B4" s="9" t="s">
        <v>4</v>
      </c>
      <c r="C4" s="10"/>
      <c r="D4" s="10"/>
      <c r="E4" s="10"/>
      <c r="F4" s="10"/>
      <c r="G4" s="10"/>
      <c r="H4" s="10"/>
    </row>
    <row r="5" spans="1:8" x14ac:dyDescent="0.3">
      <c r="A5" s="14"/>
      <c r="B5" s="14"/>
      <c r="C5" s="14"/>
      <c r="D5" s="14"/>
      <c r="E5" s="14"/>
      <c r="F5" s="1"/>
      <c r="G5" s="1"/>
      <c r="H5" s="1"/>
    </row>
    <row r="6" spans="1:8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1"/>
      <c r="G6" s="1"/>
      <c r="H6" s="1"/>
    </row>
    <row r="7" spans="1:8" x14ac:dyDescent="0.3">
      <c r="A7" s="14" t="s">
        <v>10</v>
      </c>
      <c r="B7" s="14" t="s">
        <v>11</v>
      </c>
      <c r="C7" s="17">
        <v>0.56000000000000005</v>
      </c>
      <c r="D7" s="14" t="s">
        <v>12</v>
      </c>
      <c r="E7" s="14" t="s">
        <v>13</v>
      </c>
      <c r="F7" s="1"/>
      <c r="G7" s="1"/>
      <c r="H7" s="1"/>
    </row>
    <row r="8" spans="1:8" x14ac:dyDescent="0.3">
      <c r="A8" s="14" t="s">
        <v>10</v>
      </c>
      <c r="B8" s="14" t="s">
        <v>14</v>
      </c>
      <c r="C8" s="17">
        <v>0.78</v>
      </c>
      <c r="D8" s="14" t="s">
        <v>15</v>
      </c>
      <c r="E8" s="14" t="s">
        <v>16</v>
      </c>
      <c r="F8" s="1"/>
      <c r="G8" s="1"/>
      <c r="H8" s="1"/>
    </row>
    <row r="9" spans="1:8" x14ac:dyDescent="0.3">
      <c r="A9" s="14" t="s">
        <v>10</v>
      </c>
      <c r="B9" s="14" t="s">
        <v>17</v>
      </c>
      <c r="C9" s="17">
        <v>0.86</v>
      </c>
      <c r="D9" s="14" t="s">
        <v>18</v>
      </c>
      <c r="E9" s="14" t="s">
        <v>19</v>
      </c>
      <c r="F9" s="1"/>
      <c r="G9" s="1"/>
      <c r="H9" s="1"/>
    </row>
    <row r="10" spans="1:8" x14ac:dyDescent="0.3">
      <c r="A10" s="14" t="s">
        <v>10</v>
      </c>
      <c r="B10" s="14" t="s">
        <v>20</v>
      </c>
      <c r="C10" s="17">
        <v>0.74</v>
      </c>
      <c r="D10" s="14" t="s">
        <v>21</v>
      </c>
      <c r="E10" s="14" t="s">
        <v>16</v>
      </c>
      <c r="F10" s="1"/>
      <c r="G10" s="1"/>
      <c r="H10" s="1"/>
    </row>
    <row r="11" spans="1:8" x14ac:dyDescent="0.3">
      <c r="A11" s="14" t="s">
        <v>22</v>
      </c>
      <c r="B11" s="14" t="s">
        <v>23</v>
      </c>
      <c r="C11" s="17">
        <v>0.67</v>
      </c>
      <c r="D11" s="14" t="s">
        <v>24</v>
      </c>
      <c r="E11" s="14" t="s">
        <v>13</v>
      </c>
      <c r="F11" s="1"/>
      <c r="G11" s="1"/>
      <c r="H11" s="1"/>
    </row>
    <row r="12" spans="1:8" x14ac:dyDescent="0.3">
      <c r="A12" s="14" t="s">
        <v>22</v>
      </c>
      <c r="B12" s="14" t="s">
        <v>25</v>
      </c>
      <c r="C12" s="17">
        <v>0.6</v>
      </c>
      <c r="D12" s="14" t="s">
        <v>26</v>
      </c>
      <c r="E12" s="14" t="s">
        <v>13</v>
      </c>
      <c r="F12" s="1"/>
      <c r="G12" s="1"/>
      <c r="H12" s="1"/>
    </row>
    <row r="13" spans="1:8" x14ac:dyDescent="0.3">
      <c r="A13" s="14" t="s">
        <v>22</v>
      </c>
      <c r="B13" s="14" t="s">
        <v>27</v>
      </c>
      <c r="C13" s="17">
        <v>0.51</v>
      </c>
      <c r="D13" s="14" t="s">
        <v>28</v>
      </c>
      <c r="E13" s="14" t="s">
        <v>13</v>
      </c>
      <c r="F13" s="1"/>
      <c r="G13" s="1"/>
      <c r="H13" s="1"/>
    </row>
    <row r="14" spans="1:8" x14ac:dyDescent="0.3">
      <c r="A14" s="14" t="s">
        <v>29</v>
      </c>
      <c r="B14" s="14" t="s">
        <v>30</v>
      </c>
      <c r="C14" s="17">
        <v>2.57</v>
      </c>
      <c r="D14" s="14" t="s">
        <v>31</v>
      </c>
      <c r="E14" s="14" t="s">
        <v>13</v>
      </c>
      <c r="F14" s="1"/>
      <c r="G14" s="1"/>
      <c r="H14" s="1"/>
    </row>
    <row r="15" spans="1:8" x14ac:dyDescent="0.3">
      <c r="A15" s="14" t="s">
        <v>32</v>
      </c>
      <c r="B15" s="14" t="s">
        <v>33</v>
      </c>
      <c r="C15" s="19">
        <v>4.2</v>
      </c>
      <c r="D15" s="14" t="s">
        <v>34</v>
      </c>
      <c r="E15" s="14" t="s">
        <v>16</v>
      </c>
      <c r="F15" s="1"/>
      <c r="G15" s="1"/>
      <c r="H15" s="1"/>
    </row>
    <row r="16" spans="1:8" x14ac:dyDescent="0.3">
      <c r="A16" s="14"/>
      <c r="B16" s="14"/>
      <c r="C16" s="14"/>
      <c r="D16" s="14"/>
      <c r="E16" s="14"/>
      <c r="F16" s="1"/>
      <c r="G16" s="1"/>
      <c r="H16" s="1"/>
    </row>
    <row r="17" spans="1:8" x14ac:dyDescent="0.3">
      <c r="A17" s="14"/>
      <c r="B17" s="14"/>
      <c r="C17" s="14"/>
      <c r="D17" s="14"/>
      <c r="E17" s="14"/>
      <c r="F17" s="1"/>
      <c r="G17" s="1"/>
      <c r="H17" s="1"/>
    </row>
    <row r="18" spans="1:8" ht="24" customHeight="1" x14ac:dyDescent="0.3">
      <c r="A18" s="4" t="s">
        <v>35</v>
      </c>
      <c r="B18" s="2"/>
      <c r="C18" s="2"/>
      <c r="D18" s="2"/>
      <c r="E18" s="2"/>
      <c r="F18" s="2"/>
      <c r="G18" s="2"/>
      <c r="H18" s="2"/>
    </row>
    <row r="19" spans="1:8" x14ac:dyDescent="0.3">
      <c r="A19" s="3" t="s">
        <v>36</v>
      </c>
      <c r="B19" s="3" t="s">
        <v>37</v>
      </c>
      <c r="C19" s="3" t="s">
        <v>38</v>
      </c>
      <c r="D19" s="14"/>
      <c r="E19" s="14"/>
      <c r="F19" s="1"/>
      <c r="G19" s="1"/>
      <c r="H19" s="1"/>
    </row>
    <row r="20" spans="1:8" x14ac:dyDescent="0.3">
      <c r="A20" s="14" t="s">
        <v>39</v>
      </c>
      <c r="B20" s="14" t="s">
        <v>40</v>
      </c>
      <c r="C20" s="14" t="s">
        <v>41</v>
      </c>
      <c r="D20" s="14"/>
      <c r="E20" s="14"/>
      <c r="F20" s="1"/>
      <c r="G20" s="1"/>
      <c r="H20" s="1"/>
    </row>
    <row r="21" spans="1:8" x14ac:dyDescent="0.3">
      <c r="A21" s="14" t="s">
        <v>42</v>
      </c>
      <c r="B21" s="14">
        <v>1024</v>
      </c>
      <c r="C21" s="14" t="s">
        <v>43</v>
      </c>
      <c r="D21" s="14"/>
      <c r="E21" s="14"/>
      <c r="F21" s="1"/>
      <c r="G21" s="1"/>
      <c r="H21" s="1"/>
    </row>
    <row r="22" spans="1:8" x14ac:dyDescent="0.3">
      <c r="A22" s="14" t="s">
        <v>44</v>
      </c>
      <c r="B22" s="14">
        <v>600</v>
      </c>
      <c r="C22" s="14" t="s">
        <v>45</v>
      </c>
      <c r="D22" s="14"/>
      <c r="E22" s="14"/>
      <c r="F22" s="1"/>
      <c r="G22" s="1"/>
      <c r="H22" s="1"/>
    </row>
    <row r="23" spans="1:8" x14ac:dyDescent="0.3">
      <c r="A23" s="14" t="s">
        <v>46</v>
      </c>
      <c r="B23" s="14">
        <v>100</v>
      </c>
      <c r="C23" s="14" t="s">
        <v>47</v>
      </c>
      <c r="D23" s="14"/>
      <c r="E23" s="14"/>
      <c r="F23" s="1"/>
      <c r="G23" s="1"/>
      <c r="H23" s="1"/>
    </row>
    <row r="24" spans="1:8" ht="28.8" x14ac:dyDescent="0.3">
      <c r="A24" s="14" t="s">
        <v>48</v>
      </c>
      <c r="B24" s="14" t="s">
        <v>49</v>
      </c>
      <c r="C24" s="14" t="s">
        <v>50</v>
      </c>
      <c r="D24" s="14"/>
      <c r="E24" s="14"/>
      <c r="F24" s="1"/>
      <c r="G24" s="1"/>
      <c r="H24" s="1"/>
    </row>
    <row r="25" spans="1:8" x14ac:dyDescent="0.3">
      <c r="A25" s="14" t="s">
        <v>51</v>
      </c>
      <c r="B25" s="14">
        <v>5</v>
      </c>
      <c r="C25" s="14" t="s">
        <v>52</v>
      </c>
      <c r="D25" s="14"/>
      <c r="E25" s="14"/>
      <c r="F25" s="1"/>
      <c r="G25" s="1"/>
      <c r="H25" s="1"/>
    </row>
    <row r="26" spans="1:8" x14ac:dyDescent="0.3">
      <c r="A26" s="14" t="s">
        <v>22</v>
      </c>
      <c r="B26" s="14" t="s">
        <v>53</v>
      </c>
      <c r="C26" s="14" t="s">
        <v>54</v>
      </c>
      <c r="D26" s="14"/>
      <c r="E26" s="14"/>
      <c r="F26" s="1"/>
      <c r="G26" s="1"/>
      <c r="H26" s="1"/>
    </row>
    <row r="27" spans="1:8" x14ac:dyDescent="0.3">
      <c r="A27" s="14" t="s">
        <v>55</v>
      </c>
      <c r="B27" s="14" t="s">
        <v>56</v>
      </c>
      <c r="C27" s="14" t="s">
        <v>57</v>
      </c>
      <c r="D27" s="14"/>
      <c r="E27" s="14"/>
      <c r="F27" s="1"/>
      <c r="G27" s="1"/>
      <c r="H27" s="1"/>
    </row>
  </sheetData>
  <mergeCells count="2">
    <mergeCell ref="B4:H4"/>
    <mergeCell ref="A1:H1"/>
  </mergeCells>
  <pageMargins left="0.75" right="0.75" top="1" bottom="1" header="0.5" footer="0.5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workbookViewId="0">
      <pane ySplit="3" topLeftCell="A4" activePane="bottomLeft" state="frozen"/>
      <selection pane="bottomLeft" activeCell="E2" sqref="E1:E1048576"/>
    </sheetView>
  </sheetViews>
  <sheetFormatPr defaultRowHeight="14.4" x14ac:dyDescent="0.3"/>
  <cols>
    <col min="1" max="1" width="41" style="15" customWidth="1"/>
    <col min="2" max="2" width="36" style="15" customWidth="1"/>
    <col min="3" max="3" width="42" style="15" customWidth="1"/>
    <col min="4" max="4" width="35" style="15" customWidth="1"/>
    <col min="5" max="5" width="42" style="15" customWidth="1"/>
    <col min="6" max="6" width="15" style="15" customWidth="1"/>
  </cols>
  <sheetData>
    <row r="1" spans="1:6" ht="24" customHeight="1" x14ac:dyDescent="0.3">
      <c r="A1" s="11" t="s">
        <v>58</v>
      </c>
      <c r="B1" s="12"/>
      <c r="C1" s="12"/>
      <c r="D1" s="12"/>
      <c r="E1" s="12"/>
      <c r="F1" s="12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</row>
    <row r="4" spans="1:6" ht="28.8" x14ac:dyDescent="0.3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</row>
    <row r="5" spans="1:6" x14ac:dyDescent="0.3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</row>
    <row r="6" spans="1:6" x14ac:dyDescent="0.3">
      <c r="A6" s="14" t="s">
        <v>77</v>
      </c>
      <c r="B6" s="14" t="s">
        <v>78</v>
      </c>
      <c r="C6" s="14" t="s">
        <v>79</v>
      </c>
      <c r="D6" s="14" t="s">
        <v>80</v>
      </c>
      <c r="E6" s="14" t="s">
        <v>81</v>
      </c>
      <c r="F6" s="14" t="s">
        <v>82</v>
      </c>
    </row>
    <row r="7" spans="1:6" x14ac:dyDescent="0.3">
      <c r="A7" s="14" t="s">
        <v>77</v>
      </c>
      <c r="B7" s="14" t="s">
        <v>83</v>
      </c>
      <c r="C7" s="14" t="s">
        <v>84</v>
      </c>
      <c r="D7" s="14" t="s">
        <v>85</v>
      </c>
      <c r="E7" s="14" t="s">
        <v>86</v>
      </c>
      <c r="F7" s="14" t="s">
        <v>87</v>
      </c>
    </row>
    <row r="8" spans="1:6" x14ac:dyDescent="0.3">
      <c r="A8" s="14" t="s">
        <v>88</v>
      </c>
      <c r="B8" s="14" t="s">
        <v>89</v>
      </c>
      <c r="C8" s="14" t="s">
        <v>90</v>
      </c>
      <c r="D8" s="14" t="s">
        <v>91</v>
      </c>
      <c r="E8" s="14" t="s">
        <v>92</v>
      </c>
      <c r="F8" s="14" t="s">
        <v>93</v>
      </c>
    </row>
    <row r="9" spans="1:6" x14ac:dyDescent="0.3">
      <c r="A9" s="14" t="s">
        <v>88</v>
      </c>
      <c r="B9" s="14" t="s">
        <v>94</v>
      </c>
      <c r="C9" s="14" t="s">
        <v>95</v>
      </c>
      <c r="D9" s="14" t="s">
        <v>96</v>
      </c>
      <c r="E9" s="14" t="s">
        <v>97</v>
      </c>
      <c r="F9" s="14" t="s">
        <v>98</v>
      </c>
    </row>
    <row r="10" spans="1:6" x14ac:dyDescent="0.3">
      <c r="A10" s="14" t="s">
        <v>88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4" t="s">
        <v>103</v>
      </c>
    </row>
    <row r="11" spans="1:6" x14ac:dyDescent="0.3">
      <c r="A11" s="14" t="s">
        <v>88</v>
      </c>
      <c r="B11" s="14" t="s">
        <v>104</v>
      </c>
      <c r="C11" s="14" t="s">
        <v>105</v>
      </c>
      <c r="D11" s="14" t="s">
        <v>106</v>
      </c>
      <c r="E11" s="14" t="s">
        <v>107</v>
      </c>
      <c r="F11" s="14" t="s">
        <v>108</v>
      </c>
    </row>
    <row r="12" spans="1:6" x14ac:dyDescent="0.3">
      <c r="A12" s="14" t="s">
        <v>109</v>
      </c>
      <c r="B12" s="14" t="s">
        <v>110</v>
      </c>
      <c r="C12" s="14" t="s">
        <v>111</v>
      </c>
      <c r="D12" s="14" t="s">
        <v>112</v>
      </c>
      <c r="E12" s="14" t="s">
        <v>113</v>
      </c>
      <c r="F12" s="14" t="s">
        <v>114</v>
      </c>
    </row>
    <row r="13" spans="1:6" x14ac:dyDescent="0.3">
      <c r="A13" s="14" t="s">
        <v>109</v>
      </c>
      <c r="B13" s="14" t="s">
        <v>115</v>
      </c>
      <c r="C13" s="14" t="s">
        <v>116</v>
      </c>
      <c r="D13" s="14" t="s">
        <v>112</v>
      </c>
      <c r="E13" s="14" t="s">
        <v>117</v>
      </c>
      <c r="F13" s="14" t="s">
        <v>118</v>
      </c>
    </row>
    <row r="14" spans="1:6" x14ac:dyDescent="0.3">
      <c r="A14" s="14" t="s">
        <v>109</v>
      </c>
      <c r="B14" s="14" t="s">
        <v>119</v>
      </c>
      <c r="C14" s="14" t="s">
        <v>120</v>
      </c>
      <c r="D14" s="14" t="s">
        <v>112</v>
      </c>
      <c r="E14" s="14" t="s">
        <v>121</v>
      </c>
      <c r="F14" s="14" t="s">
        <v>122</v>
      </c>
    </row>
    <row r="15" spans="1:6" x14ac:dyDescent="0.3">
      <c r="A15" s="14" t="s">
        <v>109</v>
      </c>
      <c r="B15" s="14" t="s">
        <v>123</v>
      </c>
      <c r="C15" s="14" t="s">
        <v>124</v>
      </c>
      <c r="D15" s="14" t="s">
        <v>112</v>
      </c>
      <c r="E15" s="14" t="s">
        <v>125</v>
      </c>
      <c r="F15" s="14" t="s">
        <v>126</v>
      </c>
    </row>
    <row r="16" spans="1:6" x14ac:dyDescent="0.3">
      <c r="A16" s="14" t="s">
        <v>127</v>
      </c>
      <c r="B16" s="14" t="s">
        <v>128</v>
      </c>
      <c r="C16" s="14" t="s">
        <v>129</v>
      </c>
      <c r="D16" s="14" t="s">
        <v>130</v>
      </c>
      <c r="E16" s="14" t="s">
        <v>131</v>
      </c>
      <c r="F16" s="14" t="s">
        <v>132</v>
      </c>
    </row>
    <row r="17" spans="1:6" x14ac:dyDescent="0.3">
      <c r="A17" s="14" t="s">
        <v>127</v>
      </c>
      <c r="B17" s="14" t="s">
        <v>133</v>
      </c>
      <c r="C17" s="14" t="s">
        <v>134</v>
      </c>
      <c r="D17" s="14" t="s">
        <v>135</v>
      </c>
      <c r="E17" s="14" t="s">
        <v>136</v>
      </c>
      <c r="F17" s="14" t="s">
        <v>137</v>
      </c>
    </row>
    <row r="18" spans="1:6" x14ac:dyDescent="0.3">
      <c r="A18" s="14" t="s">
        <v>127</v>
      </c>
      <c r="B18" s="14" t="s">
        <v>138</v>
      </c>
      <c r="C18" s="14" t="s">
        <v>139</v>
      </c>
      <c r="D18" s="14" t="s">
        <v>140</v>
      </c>
      <c r="E18" s="14" t="s">
        <v>141</v>
      </c>
      <c r="F18" s="14" t="s">
        <v>142</v>
      </c>
    </row>
    <row r="19" spans="1:6" x14ac:dyDescent="0.3">
      <c r="A19" s="14" t="s">
        <v>143</v>
      </c>
      <c r="B19" s="14" t="s">
        <v>144</v>
      </c>
      <c r="C19" s="14" t="s">
        <v>145</v>
      </c>
      <c r="D19" s="14" t="s">
        <v>146</v>
      </c>
      <c r="E19" s="14" t="s">
        <v>147</v>
      </c>
      <c r="F19" s="14" t="s">
        <v>148</v>
      </c>
    </row>
    <row r="20" spans="1:6" x14ac:dyDescent="0.3">
      <c r="A20" s="14" t="s">
        <v>143</v>
      </c>
      <c r="B20" s="14" t="s">
        <v>149</v>
      </c>
      <c r="C20" s="14" t="s">
        <v>150</v>
      </c>
      <c r="D20" s="14" t="s">
        <v>151</v>
      </c>
      <c r="E20" s="14" t="s">
        <v>152</v>
      </c>
      <c r="F20" s="14" t="s">
        <v>153</v>
      </c>
    </row>
    <row r="21" spans="1:6" x14ac:dyDescent="0.3">
      <c r="A21" s="14" t="s">
        <v>154</v>
      </c>
      <c r="B21" s="14" t="s">
        <v>155</v>
      </c>
      <c r="C21" s="14" t="s">
        <v>156</v>
      </c>
      <c r="D21" s="14" t="s">
        <v>157</v>
      </c>
      <c r="E21" s="14" t="s">
        <v>158</v>
      </c>
      <c r="F21" s="14" t="s">
        <v>159</v>
      </c>
    </row>
    <row r="22" spans="1:6" x14ac:dyDescent="0.3">
      <c r="A22" s="14" t="s">
        <v>154</v>
      </c>
      <c r="B22" s="14" t="s">
        <v>160</v>
      </c>
      <c r="C22" s="14" t="s">
        <v>161</v>
      </c>
      <c r="D22" s="14" t="s">
        <v>162</v>
      </c>
      <c r="E22" s="14" t="s">
        <v>163</v>
      </c>
      <c r="F22" s="14" t="s">
        <v>164</v>
      </c>
    </row>
    <row r="23" spans="1:6" x14ac:dyDescent="0.3">
      <c r="A23" s="14" t="s">
        <v>165</v>
      </c>
      <c r="B23" s="14" t="s">
        <v>166</v>
      </c>
      <c r="C23" s="14" t="s">
        <v>167</v>
      </c>
      <c r="D23" s="14" t="s">
        <v>168</v>
      </c>
      <c r="E23" s="14" t="s">
        <v>169</v>
      </c>
      <c r="F23" s="14" t="s">
        <v>170</v>
      </c>
    </row>
    <row r="24" spans="1:6" x14ac:dyDescent="0.3">
      <c r="A24" s="14" t="s">
        <v>171</v>
      </c>
      <c r="B24" s="14" t="s">
        <v>172</v>
      </c>
      <c r="C24" s="14" t="s">
        <v>173</v>
      </c>
      <c r="D24" s="14" t="s">
        <v>174</v>
      </c>
      <c r="E24" s="14" t="s">
        <v>175</v>
      </c>
      <c r="F24" s="14" t="s">
        <v>176</v>
      </c>
    </row>
    <row r="25" spans="1:6" x14ac:dyDescent="0.3">
      <c r="A25" s="14" t="s">
        <v>171</v>
      </c>
      <c r="B25" s="14" t="s">
        <v>177</v>
      </c>
      <c r="C25" s="14" t="s">
        <v>178</v>
      </c>
      <c r="D25" s="14" t="s">
        <v>179</v>
      </c>
      <c r="E25" s="14" t="s">
        <v>180</v>
      </c>
      <c r="F25" s="14" t="s">
        <v>181</v>
      </c>
    </row>
    <row r="26" spans="1:6" x14ac:dyDescent="0.3">
      <c r="A26" s="14" t="s">
        <v>171</v>
      </c>
      <c r="B26" s="14" t="s">
        <v>182</v>
      </c>
      <c r="C26" s="14" t="s">
        <v>183</v>
      </c>
      <c r="D26" s="14" t="s">
        <v>184</v>
      </c>
      <c r="E26" s="14" t="s">
        <v>185</v>
      </c>
      <c r="F26" s="14" t="s">
        <v>186</v>
      </c>
    </row>
    <row r="27" spans="1:6" x14ac:dyDescent="0.3">
      <c r="A27" s="14" t="s">
        <v>171</v>
      </c>
      <c r="B27" s="14" t="s">
        <v>187</v>
      </c>
      <c r="C27" s="14" t="s">
        <v>188</v>
      </c>
      <c r="D27" s="14" t="s">
        <v>189</v>
      </c>
      <c r="E27" s="14" t="s">
        <v>190</v>
      </c>
      <c r="F27" s="14" t="s">
        <v>191</v>
      </c>
    </row>
    <row r="28" spans="1:6" x14ac:dyDescent="0.3">
      <c r="A28" s="14" t="s">
        <v>192</v>
      </c>
      <c r="B28" s="14" t="s">
        <v>193</v>
      </c>
      <c r="C28" s="14" t="s">
        <v>194</v>
      </c>
      <c r="D28" s="14" t="s">
        <v>195</v>
      </c>
      <c r="E28" s="14" t="s">
        <v>196</v>
      </c>
      <c r="F28" s="14" t="s">
        <v>197</v>
      </c>
    </row>
    <row r="29" spans="1:6" x14ac:dyDescent="0.3">
      <c r="A29" s="14" t="s">
        <v>192</v>
      </c>
      <c r="B29" s="14" t="s">
        <v>198</v>
      </c>
      <c r="C29" s="14" t="s">
        <v>199</v>
      </c>
      <c r="D29" s="14" t="s">
        <v>200</v>
      </c>
      <c r="E29" s="14" t="s">
        <v>201</v>
      </c>
      <c r="F29" s="14" t="s">
        <v>202</v>
      </c>
    </row>
    <row r="30" spans="1:6" x14ac:dyDescent="0.3">
      <c r="A30" s="14" t="s">
        <v>192</v>
      </c>
      <c r="B30" s="14" t="s">
        <v>203</v>
      </c>
      <c r="C30" s="14" t="s">
        <v>204</v>
      </c>
      <c r="D30" s="14" t="s">
        <v>205</v>
      </c>
      <c r="E30" s="14" t="s">
        <v>206</v>
      </c>
      <c r="F30" s="14" t="s">
        <v>207</v>
      </c>
    </row>
    <row r="31" spans="1:6" x14ac:dyDescent="0.3">
      <c r="A31" s="14" t="s">
        <v>192</v>
      </c>
      <c r="B31" s="14" t="s">
        <v>208</v>
      </c>
      <c r="C31" s="14" t="s">
        <v>209</v>
      </c>
      <c r="D31" s="14" t="s">
        <v>135</v>
      </c>
      <c r="E31" s="14" t="s">
        <v>210</v>
      </c>
      <c r="F31" s="14" t="s">
        <v>211</v>
      </c>
    </row>
    <row r="32" spans="1:6" x14ac:dyDescent="0.3">
      <c r="A32" s="14" t="s">
        <v>192</v>
      </c>
      <c r="B32" s="14" t="s">
        <v>212</v>
      </c>
      <c r="C32" s="14" t="s">
        <v>213</v>
      </c>
      <c r="D32" s="14" t="s">
        <v>214</v>
      </c>
      <c r="E32" s="14" t="s">
        <v>215</v>
      </c>
      <c r="F32" s="14" t="s">
        <v>216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"/>
  <sheetViews>
    <sheetView showGridLines="0" workbookViewId="0">
      <pane ySplit="3" topLeftCell="A4" activePane="bottomLeft" state="frozen"/>
      <selection pane="bottomLeft" activeCell="B9" sqref="B9"/>
    </sheetView>
  </sheetViews>
  <sheetFormatPr defaultRowHeight="14.4" x14ac:dyDescent="0.3"/>
  <cols>
    <col min="1" max="1" width="45" style="15" customWidth="1"/>
    <col min="2" max="2" width="13" style="15" customWidth="1"/>
    <col min="3" max="5" width="12" style="15" customWidth="1"/>
    <col min="6" max="6" width="16" style="15" customWidth="1"/>
    <col min="7" max="7" width="31" style="15" customWidth="1"/>
    <col min="8" max="8" width="17" style="15" customWidth="1"/>
  </cols>
  <sheetData>
    <row r="1" spans="1:8" ht="24" customHeight="1" x14ac:dyDescent="0.3">
      <c r="A1" s="11" t="s">
        <v>217</v>
      </c>
      <c r="B1" s="12"/>
      <c r="C1" s="12"/>
      <c r="D1" s="12"/>
      <c r="E1" s="12"/>
      <c r="F1" s="12"/>
      <c r="G1" s="12"/>
      <c r="H1" s="12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3" t="s">
        <v>218</v>
      </c>
      <c r="B3" s="3" t="s">
        <v>219</v>
      </c>
      <c r="C3" s="3" t="s">
        <v>23</v>
      </c>
      <c r="D3" s="3" t="s">
        <v>25</v>
      </c>
      <c r="E3" s="3" t="s">
        <v>27</v>
      </c>
      <c r="F3" s="3" t="s">
        <v>220</v>
      </c>
      <c r="G3" s="3" t="s">
        <v>221</v>
      </c>
      <c r="H3" s="3" t="s">
        <v>222</v>
      </c>
    </row>
    <row r="4" spans="1:8" x14ac:dyDescent="0.3">
      <c r="A4" s="2" t="s">
        <v>223</v>
      </c>
      <c r="B4" s="5">
        <v>2.31</v>
      </c>
      <c r="C4" s="5">
        <v>0.64</v>
      </c>
      <c r="D4" s="5">
        <v>0.56000000000000005</v>
      </c>
      <c r="E4" s="5">
        <v>0.48</v>
      </c>
      <c r="F4" s="5">
        <v>4.2</v>
      </c>
      <c r="G4" s="2" t="s">
        <v>224</v>
      </c>
      <c r="H4" s="2" t="s">
        <v>13</v>
      </c>
    </row>
    <row r="5" spans="1:8" x14ac:dyDescent="0.3">
      <c r="A5" s="2" t="s">
        <v>225</v>
      </c>
      <c r="B5" s="5">
        <v>2.87</v>
      </c>
      <c r="C5" s="5">
        <v>0.57999999999999996</v>
      </c>
      <c r="D5" s="5">
        <v>0.51</v>
      </c>
      <c r="E5" s="5">
        <v>0.41</v>
      </c>
      <c r="F5" s="5">
        <v>3.9</v>
      </c>
      <c r="G5" s="2" t="s">
        <v>226</v>
      </c>
      <c r="H5" s="2" t="s">
        <v>227</v>
      </c>
    </row>
    <row r="6" spans="1:8" x14ac:dyDescent="0.3">
      <c r="A6" s="14" t="s">
        <v>228</v>
      </c>
      <c r="B6" s="17">
        <v>2.54</v>
      </c>
      <c r="C6" s="17">
        <v>0.71</v>
      </c>
      <c r="D6" s="17">
        <v>0.63</v>
      </c>
      <c r="E6" s="17">
        <v>0.56999999999999995</v>
      </c>
      <c r="F6" s="17">
        <v>4.4000000000000004</v>
      </c>
      <c r="G6" s="14" t="s">
        <v>229</v>
      </c>
      <c r="H6" s="14" t="s">
        <v>16</v>
      </c>
    </row>
    <row r="7" spans="1:8" x14ac:dyDescent="0.3">
      <c r="A7" s="14" t="s">
        <v>230</v>
      </c>
      <c r="B7" s="17">
        <v>2.57</v>
      </c>
      <c r="C7" s="17">
        <v>0.64</v>
      </c>
      <c r="D7" s="17">
        <v>0.56999999999999995</v>
      </c>
      <c r="E7" s="17">
        <v>0.49</v>
      </c>
      <c r="F7" s="17">
        <v>4.17</v>
      </c>
      <c r="G7" s="14" t="s">
        <v>231</v>
      </c>
      <c r="H7" s="14" t="s">
        <v>13</v>
      </c>
    </row>
    <row r="8" spans="1:8" x14ac:dyDescent="0.3">
      <c r="A8" s="14" t="s">
        <v>232</v>
      </c>
      <c r="B8" s="17">
        <v>2.6</v>
      </c>
      <c r="C8" s="17">
        <v>0.67</v>
      </c>
      <c r="D8" s="17">
        <v>0.6</v>
      </c>
      <c r="E8" s="17">
        <v>0.51</v>
      </c>
      <c r="F8" s="17">
        <v>4.3</v>
      </c>
      <c r="G8" s="14" t="s">
        <v>233</v>
      </c>
      <c r="H8" s="14" t="s">
        <v>16</v>
      </c>
    </row>
  </sheetData>
  <mergeCells count="1">
    <mergeCell ref="A1:H1"/>
  </mergeCells>
  <conditionalFormatting sqref="C4:E8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showGridLines="0" workbookViewId="0">
      <pane ySplit="3" topLeftCell="A4" activePane="bottomLeft" state="frozen"/>
      <selection pane="bottomLeft" activeCell="C15" sqref="C15"/>
    </sheetView>
  </sheetViews>
  <sheetFormatPr defaultRowHeight="14.4" x14ac:dyDescent="0.3"/>
  <cols>
    <col min="1" max="1" width="45" style="15" customWidth="1"/>
    <col min="2" max="3" width="12" style="15" customWidth="1"/>
    <col min="4" max="4" width="27" style="15" customWidth="1"/>
    <col min="5" max="5" width="19" style="15" customWidth="1"/>
    <col min="6" max="6" width="31" style="15" customWidth="1"/>
    <col min="7" max="7" width="12" style="15" customWidth="1"/>
  </cols>
  <sheetData>
    <row r="1" spans="1:7" ht="24" customHeight="1" x14ac:dyDescent="0.3">
      <c r="A1" s="11" t="s">
        <v>234</v>
      </c>
      <c r="B1" s="12"/>
      <c r="C1" s="12"/>
      <c r="D1" s="12"/>
      <c r="E1" s="12"/>
      <c r="F1" s="12"/>
      <c r="G1" s="12"/>
    </row>
    <row r="2" spans="1:7" x14ac:dyDescent="0.3">
      <c r="A2" s="14"/>
      <c r="B2" s="14"/>
      <c r="C2" s="14"/>
      <c r="D2" s="14"/>
      <c r="E2" s="14"/>
      <c r="F2" s="14"/>
      <c r="G2" s="14"/>
    </row>
    <row r="3" spans="1:7" x14ac:dyDescent="0.3">
      <c r="A3" s="3" t="s">
        <v>235</v>
      </c>
      <c r="B3" s="3" t="s">
        <v>236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9</v>
      </c>
    </row>
    <row r="4" spans="1:7" x14ac:dyDescent="0.3">
      <c r="A4" s="2">
        <v>1</v>
      </c>
      <c r="B4" s="5">
        <v>0.56000000000000005</v>
      </c>
      <c r="C4" s="5">
        <v>0.56000000000000005</v>
      </c>
      <c r="D4" s="5">
        <v>1.72</v>
      </c>
      <c r="E4" s="5">
        <v>0.56000000000000005</v>
      </c>
      <c r="F4" s="2" t="s">
        <v>241</v>
      </c>
      <c r="G4" s="2" t="s">
        <v>242</v>
      </c>
    </row>
    <row r="5" spans="1:7" x14ac:dyDescent="0.3">
      <c r="A5" s="2">
        <v>3</v>
      </c>
      <c r="B5" s="5">
        <v>0.78</v>
      </c>
      <c r="C5" s="5">
        <v>0.69</v>
      </c>
      <c r="D5" s="5">
        <v>2.14</v>
      </c>
      <c r="E5" s="5">
        <v>0.78</v>
      </c>
      <c r="F5" s="2" t="s">
        <v>15</v>
      </c>
      <c r="G5" s="2" t="s">
        <v>16</v>
      </c>
    </row>
    <row r="6" spans="1:7" x14ac:dyDescent="0.3">
      <c r="A6" s="14">
        <v>5</v>
      </c>
      <c r="B6" s="17">
        <v>0.86</v>
      </c>
      <c r="C6" s="17">
        <v>0.74</v>
      </c>
      <c r="D6" s="17">
        <v>2.57</v>
      </c>
      <c r="E6" s="17">
        <v>0.86</v>
      </c>
      <c r="F6" s="14" t="s">
        <v>52</v>
      </c>
      <c r="G6" s="14" t="s">
        <v>19</v>
      </c>
    </row>
  </sheetData>
  <mergeCells count="1">
    <mergeCell ref="A1:G1"/>
  </mergeCells>
  <conditionalFormatting sqref="B4:C6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8"/>
  <sheetViews>
    <sheetView showGridLines="0" workbookViewId="0">
      <pane ySplit="3" topLeftCell="A4" activePane="bottomLeft" state="frozen"/>
      <selection pane="bottomLeft" activeCell="C17" sqref="C17"/>
    </sheetView>
  </sheetViews>
  <sheetFormatPr defaultRowHeight="14.4" x14ac:dyDescent="0.3"/>
  <cols>
    <col min="1" max="1" width="45" style="15" customWidth="1"/>
    <col min="2" max="3" width="12" style="15" customWidth="1"/>
    <col min="4" max="4" width="32" style="15" customWidth="1"/>
    <col min="5" max="5" width="41" style="15" customWidth="1"/>
    <col min="6" max="6" width="12" style="15" customWidth="1"/>
  </cols>
  <sheetData>
    <row r="1" spans="1:6" ht="24" customHeight="1" x14ac:dyDescent="0.3">
      <c r="A1" s="11" t="s">
        <v>243</v>
      </c>
      <c r="B1" s="12"/>
      <c r="C1" s="12"/>
      <c r="D1" s="12"/>
      <c r="E1" s="12"/>
      <c r="F1" s="12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3" t="s">
        <v>244</v>
      </c>
      <c r="B3" s="3" t="s">
        <v>245</v>
      </c>
      <c r="C3" s="3" t="s">
        <v>246</v>
      </c>
      <c r="D3" s="3" t="s">
        <v>171</v>
      </c>
      <c r="E3" s="3" t="s">
        <v>247</v>
      </c>
      <c r="F3" s="3" t="s">
        <v>9</v>
      </c>
    </row>
    <row r="4" spans="1:6" x14ac:dyDescent="0.3">
      <c r="A4" s="2" t="s">
        <v>248</v>
      </c>
      <c r="B4" s="6">
        <v>4.3</v>
      </c>
      <c r="C4" s="7">
        <v>0.86</v>
      </c>
      <c r="D4" s="2" t="s">
        <v>249</v>
      </c>
      <c r="E4" s="2" t="s">
        <v>250</v>
      </c>
      <c r="F4" s="2" t="s">
        <v>16</v>
      </c>
    </row>
    <row r="5" spans="1:6" x14ac:dyDescent="0.3">
      <c r="A5" s="2" t="s">
        <v>251</v>
      </c>
      <c r="B5" s="6">
        <v>4.0999999999999996</v>
      </c>
      <c r="C5" s="7">
        <v>0.82</v>
      </c>
      <c r="D5" s="2" t="s">
        <v>252</v>
      </c>
      <c r="E5" s="2" t="s">
        <v>253</v>
      </c>
      <c r="F5" s="2" t="s">
        <v>16</v>
      </c>
    </row>
    <row r="6" spans="1:6" x14ac:dyDescent="0.3">
      <c r="A6" s="14" t="s">
        <v>254</v>
      </c>
      <c r="B6" s="19">
        <v>3.9</v>
      </c>
      <c r="C6" s="18">
        <v>0.78</v>
      </c>
      <c r="D6" s="14" t="s">
        <v>255</v>
      </c>
      <c r="E6" s="14" t="s">
        <v>256</v>
      </c>
      <c r="F6" s="14" t="s">
        <v>13</v>
      </c>
    </row>
    <row r="7" spans="1:6" x14ac:dyDescent="0.3">
      <c r="A7" s="14" t="s">
        <v>257</v>
      </c>
      <c r="B7" s="19">
        <v>4.5</v>
      </c>
      <c r="C7" s="18">
        <v>0.9</v>
      </c>
      <c r="D7" s="14" t="s">
        <v>258</v>
      </c>
      <c r="E7" s="14" t="s">
        <v>259</v>
      </c>
      <c r="F7" s="14" t="s">
        <v>19</v>
      </c>
    </row>
    <row r="8" spans="1:6" x14ac:dyDescent="0.3">
      <c r="A8" s="14" t="s">
        <v>260</v>
      </c>
      <c r="B8" s="14">
        <v>4.2</v>
      </c>
      <c r="C8" s="14">
        <v>0.84</v>
      </c>
      <c r="D8" s="14" t="s">
        <v>261</v>
      </c>
      <c r="E8" s="14" t="s">
        <v>262</v>
      </c>
      <c r="F8" s="14" t="s">
        <v>16</v>
      </c>
    </row>
  </sheetData>
  <mergeCells count="1">
    <mergeCell ref="A1:F1"/>
  </mergeCells>
  <conditionalFormatting sqref="C4:C8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45" customWidth="1"/>
    <col min="2" max="5" width="12" customWidth="1"/>
    <col min="6" max="6" width="19" customWidth="1"/>
    <col min="7" max="7" width="43" customWidth="1"/>
  </cols>
  <sheetData>
    <row r="1" spans="1:7" ht="24" customHeight="1" x14ac:dyDescent="0.3">
      <c r="A1" s="11" t="s">
        <v>263</v>
      </c>
      <c r="B1" s="12"/>
      <c r="C1" s="12"/>
      <c r="D1" s="12"/>
      <c r="E1" s="12"/>
      <c r="F1" s="12"/>
      <c r="G1" s="12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3" t="s">
        <v>264</v>
      </c>
      <c r="B3" s="3" t="s">
        <v>23</v>
      </c>
      <c r="C3" s="3" t="s">
        <v>25</v>
      </c>
      <c r="D3" s="3" t="s">
        <v>27</v>
      </c>
      <c r="E3" s="3" t="s">
        <v>265</v>
      </c>
      <c r="F3" s="3" t="s">
        <v>266</v>
      </c>
      <c r="G3" s="3" t="s">
        <v>267</v>
      </c>
    </row>
    <row r="4" spans="1:7" x14ac:dyDescent="0.3">
      <c r="A4" s="2" t="s">
        <v>268</v>
      </c>
      <c r="B4" s="8">
        <v>0.57999999999999996</v>
      </c>
      <c r="C4" s="8">
        <v>0.51</v>
      </c>
      <c r="D4" s="8">
        <v>0.42</v>
      </c>
      <c r="E4" s="8">
        <v>0.503</v>
      </c>
      <c r="F4" s="8">
        <v>0</v>
      </c>
      <c r="G4" s="2" t="s">
        <v>269</v>
      </c>
    </row>
    <row r="5" spans="1:7" x14ac:dyDescent="0.3">
      <c r="A5" s="2" t="s">
        <v>56</v>
      </c>
      <c r="B5" s="8">
        <v>0.67</v>
      </c>
      <c r="C5" s="8">
        <v>0.6</v>
      </c>
      <c r="D5" s="8">
        <v>0.51</v>
      </c>
      <c r="E5" s="8">
        <v>0.59299999999999997</v>
      </c>
      <c r="F5" s="8">
        <v>0.17899999999999999</v>
      </c>
      <c r="G5" s="2" t="s">
        <v>270</v>
      </c>
    </row>
  </sheetData>
  <mergeCells count="1">
    <mergeCell ref="A1:G1"/>
  </mergeCells>
  <conditionalFormatting sqref="B4:F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44" customWidth="1"/>
    <col min="2" max="4" width="12" customWidth="1"/>
    <col min="5" max="5" width="18" customWidth="1"/>
    <col min="6" max="6" width="15" customWidth="1"/>
    <col min="7" max="7" width="23" customWidth="1"/>
  </cols>
  <sheetData>
    <row r="1" spans="1:7" ht="24" customHeight="1" x14ac:dyDescent="0.3">
      <c r="A1" s="11" t="s">
        <v>271</v>
      </c>
      <c r="B1" s="12"/>
      <c r="C1" s="12"/>
      <c r="D1" s="12"/>
      <c r="E1" s="12"/>
      <c r="F1" s="12"/>
      <c r="G1" s="12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3" t="s">
        <v>272</v>
      </c>
      <c r="B3" s="3" t="s">
        <v>244</v>
      </c>
      <c r="C3" s="3" t="s">
        <v>17</v>
      </c>
      <c r="D3" s="3" t="s">
        <v>237</v>
      </c>
      <c r="E3" s="3" t="s">
        <v>273</v>
      </c>
      <c r="F3" s="3" t="s">
        <v>274</v>
      </c>
      <c r="G3" s="3" t="s">
        <v>275</v>
      </c>
    </row>
    <row r="4" spans="1:7" x14ac:dyDescent="0.3">
      <c r="A4" s="2" t="s">
        <v>276</v>
      </c>
      <c r="B4" s="2">
        <v>1024</v>
      </c>
      <c r="C4" s="5">
        <v>0.86</v>
      </c>
      <c r="D4" s="5">
        <v>0.74</v>
      </c>
      <c r="E4" s="5">
        <v>1</v>
      </c>
      <c r="F4" s="5">
        <v>1</v>
      </c>
      <c r="G4" s="2" t="s">
        <v>277</v>
      </c>
    </row>
    <row r="5" spans="1:7" x14ac:dyDescent="0.3">
      <c r="A5" s="2" t="s">
        <v>40</v>
      </c>
      <c r="B5" s="2">
        <v>1024</v>
      </c>
      <c r="C5" s="5">
        <v>0.89</v>
      </c>
      <c r="D5" s="5">
        <v>0.78</v>
      </c>
      <c r="E5" s="5">
        <v>1.05</v>
      </c>
      <c r="F5" s="5">
        <v>1.1200000000000001</v>
      </c>
      <c r="G5" s="2" t="s">
        <v>278</v>
      </c>
    </row>
  </sheetData>
  <mergeCells count="1">
    <mergeCell ref="A1:G1"/>
  </mergeCells>
  <conditionalFormatting sqref="C4:D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45" customWidth="1"/>
    <col min="2" max="4" width="12" customWidth="1"/>
    <col min="5" max="5" width="22" customWidth="1"/>
    <col min="6" max="6" width="12" customWidth="1"/>
    <col min="7" max="7" width="21" customWidth="1"/>
  </cols>
  <sheetData>
    <row r="1" spans="1:7" ht="24" customHeight="1" x14ac:dyDescent="0.3">
      <c r="A1" s="11" t="s">
        <v>279</v>
      </c>
      <c r="B1" s="12"/>
      <c r="C1" s="12"/>
      <c r="D1" s="12"/>
      <c r="E1" s="12"/>
      <c r="F1" s="12"/>
      <c r="G1" s="12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3" t="s">
        <v>44</v>
      </c>
      <c r="B3" s="3" t="s">
        <v>280</v>
      </c>
      <c r="C3" s="3" t="s">
        <v>17</v>
      </c>
      <c r="D3" s="3" t="s">
        <v>237</v>
      </c>
      <c r="E3" s="3" t="s">
        <v>281</v>
      </c>
      <c r="F3" s="3" t="s">
        <v>282</v>
      </c>
      <c r="G3" s="3" t="s">
        <v>275</v>
      </c>
    </row>
    <row r="4" spans="1:7" x14ac:dyDescent="0.3">
      <c r="A4" s="2">
        <v>300</v>
      </c>
      <c r="B4" s="2">
        <v>30</v>
      </c>
      <c r="C4" s="5">
        <v>0.81</v>
      </c>
      <c r="D4" s="5">
        <v>0.69</v>
      </c>
      <c r="E4" s="5">
        <v>0.78</v>
      </c>
      <c r="F4" s="5">
        <v>0.18</v>
      </c>
      <c r="G4" s="2" t="s">
        <v>283</v>
      </c>
    </row>
    <row r="5" spans="1:7" x14ac:dyDescent="0.3">
      <c r="A5" s="2">
        <v>600</v>
      </c>
      <c r="B5" s="2">
        <v>100</v>
      </c>
      <c r="C5" s="5">
        <v>0.86</v>
      </c>
      <c r="D5" s="5">
        <v>0.74</v>
      </c>
      <c r="E5" s="5">
        <v>0.88</v>
      </c>
      <c r="F5" s="5">
        <v>0.24</v>
      </c>
      <c r="G5" s="2" t="s">
        <v>284</v>
      </c>
    </row>
  </sheetData>
  <mergeCells count="1">
    <mergeCell ref="A1:G1"/>
  </mergeCells>
  <conditionalFormatting sqref="C4:F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45" customWidth="1"/>
    <col min="2" max="4" width="12" customWidth="1"/>
    <col min="5" max="5" width="34" customWidth="1"/>
    <col min="6" max="6" width="15" customWidth="1"/>
    <col min="7" max="7" width="44" customWidth="1"/>
  </cols>
  <sheetData>
    <row r="1" spans="1:7" ht="24" customHeight="1" x14ac:dyDescent="0.3">
      <c r="A1" s="11" t="s">
        <v>285</v>
      </c>
      <c r="B1" s="12"/>
      <c r="C1" s="12"/>
      <c r="D1" s="12"/>
      <c r="E1" s="12"/>
      <c r="F1" s="12"/>
      <c r="G1" s="12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3" t="s">
        <v>286</v>
      </c>
      <c r="B3" s="3" t="s">
        <v>17</v>
      </c>
      <c r="C3" s="3" t="s">
        <v>237</v>
      </c>
      <c r="D3" s="3" t="s">
        <v>287</v>
      </c>
      <c r="E3" s="3" t="s">
        <v>288</v>
      </c>
      <c r="F3" s="3" t="s">
        <v>274</v>
      </c>
      <c r="G3" s="3" t="s">
        <v>275</v>
      </c>
    </row>
    <row r="4" spans="1:7" x14ac:dyDescent="0.3">
      <c r="A4" s="2" t="s">
        <v>289</v>
      </c>
      <c r="B4" s="5">
        <v>0.86</v>
      </c>
      <c r="C4" s="5">
        <v>0.74</v>
      </c>
      <c r="D4" s="5">
        <v>0.7</v>
      </c>
      <c r="E4" s="5">
        <v>0.9</v>
      </c>
      <c r="F4" s="5">
        <v>1</v>
      </c>
      <c r="G4" s="2" t="s">
        <v>290</v>
      </c>
    </row>
    <row r="5" spans="1:7" x14ac:dyDescent="0.3">
      <c r="A5" s="2" t="s">
        <v>291</v>
      </c>
      <c r="B5" s="5">
        <v>0.82</v>
      </c>
      <c r="C5" s="5">
        <v>0.7</v>
      </c>
      <c r="D5" s="5">
        <v>0.88</v>
      </c>
      <c r="E5" s="5">
        <v>0.83</v>
      </c>
      <c r="F5" s="5">
        <v>1.08</v>
      </c>
      <c r="G5" s="2" t="s">
        <v>292</v>
      </c>
    </row>
  </sheetData>
  <mergeCells count="1">
    <mergeCell ref="A1:G1"/>
  </mergeCells>
  <conditionalFormatting sqref="B4:F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showGridLines="0" workbookViewId="0">
      <pane ySplit="3" topLeftCell="A4" activePane="bottomLeft" state="frozen"/>
      <selection pane="bottomLeft" activeCell="E26" sqref="E26"/>
    </sheetView>
  </sheetViews>
  <sheetFormatPr defaultRowHeight="14.4" x14ac:dyDescent="0.3"/>
  <cols>
    <col min="1" max="1" width="43" style="15" customWidth="1"/>
    <col min="2" max="3" width="12" style="15" customWidth="1"/>
    <col min="4" max="4" width="13" style="15" customWidth="1"/>
    <col min="5" max="5" width="20" style="15" customWidth="1"/>
    <col min="6" max="6" width="25" style="15" customWidth="1"/>
  </cols>
  <sheetData>
    <row r="1" spans="1:6" ht="24" customHeight="1" x14ac:dyDescent="0.3">
      <c r="A1" s="11" t="s">
        <v>293</v>
      </c>
      <c r="B1" s="12"/>
      <c r="C1" s="12"/>
      <c r="D1" s="12"/>
      <c r="E1" s="12"/>
      <c r="F1" s="12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3" t="s">
        <v>235</v>
      </c>
      <c r="B3" s="3" t="s">
        <v>236</v>
      </c>
      <c r="C3" s="3" t="s">
        <v>237</v>
      </c>
      <c r="D3" s="3" t="s">
        <v>219</v>
      </c>
      <c r="E3" s="3" t="s">
        <v>294</v>
      </c>
      <c r="F3" s="3" t="s">
        <v>275</v>
      </c>
    </row>
    <row r="4" spans="1:6" x14ac:dyDescent="0.3">
      <c r="A4" s="2">
        <v>1</v>
      </c>
      <c r="B4" s="5">
        <v>0.56000000000000005</v>
      </c>
      <c r="C4" s="5">
        <v>0.56000000000000005</v>
      </c>
      <c r="D4" s="5">
        <v>1.72</v>
      </c>
      <c r="E4" s="5">
        <v>0.35</v>
      </c>
      <c r="F4" s="2" t="s">
        <v>295</v>
      </c>
    </row>
    <row r="5" spans="1:6" x14ac:dyDescent="0.3">
      <c r="A5" s="2">
        <v>3</v>
      </c>
      <c r="B5" s="5">
        <v>0.78</v>
      </c>
      <c r="C5" s="5">
        <v>0.69</v>
      </c>
      <c r="D5" s="5">
        <v>2.14</v>
      </c>
      <c r="E5" s="5">
        <v>0.6</v>
      </c>
      <c r="F5" s="2" t="s">
        <v>296</v>
      </c>
    </row>
    <row r="6" spans="1:6" x14ac:dyDescent="0.3">
      <c r="A6" s="14">
        <v>5</v>
      </c>
      <c r="B6" s="17">
        <v>0.86</v>
      </c>
      <c r="C6" s="17">
        <v>0.74</v>
      </c>
      <c r="D6" s="17">
        <v>2.57</v>
      </c>
      <c r="E6" s="17">
        <v>0.82</v>
      </c>
      <c r="F6" s="14" t="s">
        <v>297</v>
      </c>
    </row>
  </sheetData>
  <mergeCells count="1">
    <mergeCell ref="A1:F1"/>
  </mergeCells>
  <conditionalFormatting sqref="B4:E6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"/>
  <sheetViews>
    <sheetView showGridLines="0" workbookViewId="0">
      <pane ySplit="3" topLeftCell="A4" activePane="bottomLeft" state="frozen"/>
      <selection pane="bottomLeft" activeCell="A30" sqref="A30"/>
    </sheetView>
  </sheetViews>
  <sheetFormatPr defaultRowHeight="14.4" x14ac:dyDescent="0.3"/>
  <cols>
    <col min="1" max="1" width="45" style="15" customWidth="1"/>
    <col min="2" max="2" width="12" style="15" customWidth="1"/>
    <col min="3" max="3" width="17" style="15" customWidth="1"/>
    <col min="4" max="4" width="16" style="15" customWidth="1"/>
    <col min="5" max="5" width="18" style="15" customWidth="1"/>
    <col min="6" max="7" width="17" style="15" customWidth="1"/>
    <col min="8" max="8" width="16" style="15" customWidth="1"/>
  </cols>
  <sheetData>
    <row r="1" spans="1:8" ht="24" customHeight="1" x14ac:dyDescent="0.3">
      <c r="A1" s="11" t="s">
        <v>298</v>
      </c>
      <c r="B1" s="12"/>
      <c r="C1" s="12"/>
      <c r="D1" s="12"/>
      <c r="E1" s="12"/>
      <c r="F1" s="12"/>
      <c r="G1" s="12"/>
      <c r="H1" s="12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3" t="s">
        <v>299</v>
      </c>
      <c r="B3" s="3" t="s">
        <v>242</v>
      </c>
      <c r="C3" s="3" t="s">
        <v>300</v>
      </c>
      <c r="D3" s="3" t="s">
        <v>301</v>
      </c>
      <c r="E3" s="3" t="s">
        <v>302</v>
      </c>
      <c r="F3" s="3" t="s">
        <v>303</v>
      </c>
      <c r="G3" s="3" t="s">
        <v>304</v>
      </c>
      <c r="H3" s="3" t="s">
        <v>305</v>
      </c>
    </row>
    <row r="4" spans="1:8" x14ac:dyDescent="0.3">
      <c r="A4" s="2" t="s">
        <v>55</v>
      </c>
      <c r="B4" s="2" t="s">
        <v>306</v>
      </c>
      <c r="C4" s="8">
        <v>0.503</v>
      </c>
      <c r="D4" s="2" t="s">
        <v>307</v>
      </c>
      <c r="E4" s="8">
        <v>0.59299999999999997</v>
      </c>
      <c r="F4" s="8">
        <v>0.09</v>
      </c>
      <c r="G4" s="8">
        <v>0.17899999999999999</v>
      </c>
      <c r="H4" s="2" t="s">
        <v>307</v>
      </c>
    </row>
    <row r="5" spans="1:8" x14ac:dyDescent="0.3">
      <c r="A5" s="2" t="s">
        <v>39</v>
      </c>
      <c r="B5" s="2" t="s">
        <v>276</v>
      </c>
      <c r="C5" s="8">
        <v>0.86</v>
      </c>
      <c r="D5" s="2" t="s">
        <v>40</v>
      </c>
      <c r="E5" s="8">
        <v>0.89</v>
      </c>
      <c r="F5" s="8">
        <v>0.03</v>
      </c>
      <c r="G5" s="8">
        <v>3.5000000000000003E-2</v>
      </c>
      <c r="H5" s="2" t="s">
        <v>40</v>
      </c>
    </row>
    <row r="6" spans="1:8" x14ac:dyDescent="0.3">
      <c r="A6" s="14" t="s">
        <v>308</v>
      </c>
      <c r="B6" s="14" t="s">
        <v>309</v>
      </c>
      <c r="C6" s="16">
        <v>0.81</v>
      </c>
      <c r="D6" s="14" t="s">
        <v>310</v>
      </c>
      <c r="E6" s="16">
        <v>0.86</v>
      </c>
      <c r="F6" s="16">
        <v>0.05</v>
      </c>
      <c r="G6" s="16">
        <v>6.2E-2</v>
      </c>
      <c r="H6" s="14" t="s">
        <v>310</v>
      </c>
    </row>
    <row r="7" spans="1:8" x14ac:dyDescent="0.3">
      <c r="A7" s="14" t="s">
        <v>286</v>
      </c>
      <c r="B7" s="14" t="s">
        <v>291</v>
      </c>
      <c r="C7" s="16">
        <v>0.82</v>
      </c>
      <c r="D7" s="14" t="s">
        <v>289</v>
      </c>
      <c r="E7" s="16">
        <v>0.86</v>
      </c>
      <c r="F7" s="16">
        <v>0.04</v>
      </c>
      <c r="G7" s="16">
        <v>4.9000000000000002E-2</v>
      </c>
      <c r="H7" s="14" t="s">
        <v>289</v>
      </c>
    </row>
    <row r="8" spans="1:8" x14ac:dyDescent="0.3">
      <c r="A8" s="14" t="s">
        <v>51</v>
      </c>
      <c r="B8" s="14" t="s">
        <v>311</v>
      </c>
      <c r="C8" s="16">
        <v>0.56000000000000005</v>
      </c>
      <c r="D8" s="14" t="s">
        <v>312</v>
      </c>
      <c r="E8" s="16">
        <v>0.86</v>
      </c>
      <c r="F8" s="16">
        <v>0.3</v>
      </c>
      <c r="G8" s="16">
        <v>0.53600000000000003</v>
      </c>
      <c r="H8" s="14" t="s">
        <v>312</v>
      </c>
    </row>
  </sheetData>
  <mergeCells count="1">
    <mergeCell ref="A1:H1"/>
  </mergeCells>
  <pageMargins left="0.75" right="0.75" top="1" bottom="1" header="0.5" footer="0.5"/>
  <drawing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workbookViewId="0">
      <pane ySplit="3" topLeftCell="A4" activePane="bottomLeft" state="frozen"/>
      <selection pane="bottomLeft" activeCell="D29" sqref="D29"/>
    </sheetView>
  </sheetViews>
  <sheetFormatPr defaultRowHeight="14.4" x14ac:dyDescent="0.3"/>
  <cols>
    <col min="1" max="1" width="34" style="15" customWidth="1"/>
    <col min="2" max="3" width="23" style="15" customWidth="1"/>
    <col min="4" max="4" width="19" style="15" customWidth="1"/>
    <col min="5" max="5" width="33" style="15" customWidth="1"/>
    <col min="6" max="7" width="26" style="15" customWidth="1"/>
  </cols>
  <sheetData>
    <row r="1" spans="1:7" ht="24" customHeight="1" x14ac:dyDescent="0.3">
      <c r="A1" s="11" t="s">
        <v>313</v>
      </c>
      <c r="B1" s="12"/>
      <c r="C1" s="12"/>
      <c r="D1" s="12"/>
      <c r="E1" s="12"/>
      <c r="F1" s="12"/>
      <c r="G1" s="12"/>
    </row>
    <row r="2" spans="1:7" x14ac:dyDescent="0.3">
      <c r="A2" s="14"/>
      <c r="B2" s="14"/>
      <c r="C2" s="14"/>
      <c r="D2" s="14"/>
      <c r="E2" s="14"/>
      <c r="F2" s="14"/>
      <c r="G2" s="14"/>
    </row>
    <row r="3" spans="1:7" x14ac:dyDescent="0.3">
      <c r="A3" s="3" t="s">
        <v>314</v>
      </c>
      <c r="B3" s="3" t="s">
        <v>315</v>
      </c>
      <c r="C3" s="3" t="s">
        <v>316</v>
      </c>
      <c r="D3" s="3" t="s">
        <v>317</v>
      </c>
      <c r="E3" s="3" t="s">
        <v>318</v>
      </c>
      <c r="F3" s="3" t="s">
        <v>319</v>
      </c>
      <c r="G3" s="3" t="s">
        <v>320</v>
      </c>
    </row>
    <row r="4" spans="1:7" x14ac:dyDescent="0.3">
      <c r="A4" s="2" t="s">
        <v>80</v>
      </c>
      <c r="B4" s="2" t="s">
        <v>321</v>
      </c>
      <c r="C4" s="2" t="s">
        <v>322</v>
      </c>
      <c r="D4" s="2" t="s">
        <v>323</v>
      </c>
      <c r="E4" s="2" t="s">
        <v>324</v>
      </c>
      <c r="F4" s="2" t="s">
        <v>325</v>
      </c>
      <c r="G4" s="2" t="s">
        <v>326</v>
      </c>
    </row>
    <row r="5" spans="1:7" x14ac:dyDescent="0.3">
      <c r="A5" s="2" t="s">
        <v>327</v>
      </c>
      <c r="B5" s="2" t="s">
        <v>328</v>
      </c>
      <c r="C5" s="2" t="s">
        <v>329</v>
      </c>
      <c r="D5" s="2" t="s">
        <v>330</v>
      </c>
      <c r="E5" s="2" t="s">
        <v>331</v>
      </c>
      <c r="F5" s="2" t="s">
        <v>332</v>
      </c>
      <c r="G5" s="2" t="s">
        <v>333</v>
      </c>
    </row>
    <row r="6" spans="1:7" x14ac:dyDescent="0.3">
      <c r="A6" s="14" t="s">
        <v>334</v>
      </c>
      <c r="B6" s="14" t="s">
        <v>335</v>
      </c>
      <c r="C6" s="14" t="s">
        <v>336</v>
      </c>
      <c r="D6" s="14" t="s">
        <v>337</v>
      </c>
      <c r="E6" s="14" t="s">
        <v>338</v>
      </c>
      <c r="F6" s="14" t="s">
        <v>339</v>
      </c>
      <c r="G6" s="14" t="s">
        <v>340</v>
      </c>
    </row>
    <row r="7" spans="1:7" x14ac:dyDescent="0.3">
      <c r="A7" s="14" t="s">
        <v>341</v>
      </c>
      <c r="B7" s="14" t="s">
        <v>342</v>
      </c>
      <c r="C7" s="14" t="s">
        <v>55</v>
      </c>
      <c r="D7" s="14" t="s">
        <v>343</v>
      </c>
      <c r="E7" s="14" t="s">
        <v>344</v>
      </c>
      <c r="F7" s="14" t="s">
        <v>345</v>
      </c>
      <c r="G7" s="14" t="s">
        <v>346</v>
      </c>
    </row>
    <row r="8" spans="1:7" x14ac:dyDescent="0.3">
      <c r="A8" s="14" t="s">
        <v>347</v>
      </c>
      <c r="B8" s="14" t="s">
        <v>348</v>
      </c>
      <c r="C8" s="14" t="s">
        <v>349</v>
      </c>
      <c r="D8" s="14" t="s">
        <v>350</v>
      </c>
      <c r="E8" s="14" t="s">
        <v>351</v>
      </c>
      <c r="F8" s="14" t="s">
        <v>352</v>
      </c>
      <c r="G8" s="14" t="s">
        <v>353</v>
      </c>
    </row>
    <row r="9" spans="1:7" x14ac:dyDescent="0.3">
      <c r="A9" s="14" t="s">
        <v>112</v>
      </c>
      <c r="B9" s="14" t="s">
        <v>354</v>
      </c>
      <c r="C9" s="14" t="s">
        <v>355</v>
      </c>
      <c r="D9" s="14" t="s">
        <v>356</v>
      </c>
      <c r="E9" s="14" t="s">
        <v>357</v>
      </c>
      <c r="F9" s="14" t="s">
        <v>358</v>
      </c>
      <c r="G9" s="14" t="s">
        <v>359</v>
      </c>
    </row>
    <row r="10" spans="1:7" x14ac:dyDescent="0.3">
      <c r="A10" s="14" t="s">
        <v>360</v>
      </c>
      <c r="B10" s="14" t="s">
        <v>361</v>
      </c>
      <c r="C10" s="14" t="s">
        <v>362</v>
      </c>
      <c r="D10" s="14" t="s">
        <v>363</v>
      </c>
      <c r="E10" s="14" t="s">
        <v>364</v>
      </c>
      <c r="F10" s="14" t="s">
        <v>365</v>
      </c>
      <c r="G10" s="14" t="s">
        <v>366</v>
      </c>
    </row>
    <row r="11" spans="1:7" x14ac:dyDescent="0.3">
      <c r="A11" s="14" t="s">
        <v>367</v>
      </c>
      <c r="B11" s="14" t="s">
        <v>368</v>
      </c>
      <c r="C11" s="14" t="s">
        <v>369</v>
      </c>
      <c r="D11" s="14" t="s">
        <v>370</v>
      </c>
      <c r="E11" s="14" t="s">
        <v>371</v>
      </c>
      <c r="F11" s="14" t="s">
        <v>372</v>
      </c>
      <c r="G11" s="14" t="s">
        <v>373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opLeftCell="B1" workbookViewId="0">
      <pane ySplit="3" topLeftCell="A4" activePane="bottomLeft" state="frozen"/>
      <selection pane="bottomLeft" activeCell="D27" sqref="D27"/>
    </sheetView>
  </sheetViews>
  <sheetFormatPr defaultRowHeight="14.4" x14ac:dyDescent="0.3"/>
  <cols>
    <col min="1" max="1" width="44" customWidth="1"/>
    <col min="2" max="2" width="16" style="15" customWidth="1"/>
    <col min="3" max="3" width="42" style="15" customWidth="1"/>
    <col min="4" max="4" width="36" style="15" customWidth="1"/>
    <col min="5" max="5" width="38" style="15" customWidth="1"/>
    <col min="6" max="6" width="29" style="15" customWidth="1"/>
    <col min="7" max="7" width="33" style="15" customWidth="1"/>
    <col min="8" max="8" width="12" style="13" customWidth="1"/>
  </cols>
  <sheetData>
    <row r="1" spans="1:8" ht="24" customHeight="1" x14ac:dyDescent="0.3">
      <c r="A1" s="11" t="s">
        <v>374</v>
      </c>
      <c r="B1" s="12"/>
      <c r="C1" s="12"/>
      <c r="D1" s="12"/>
      <c r="E1" s="12"/>
      <c r="F1" s="12"/>
      <c r="G1" s="12"/>
      <c r="H1" s="12"/>
    </row>
    <row r="2" spans="1:8" x14ac:dyDescent="0.3">
      <c r="A2" s="1"/>
      <c r="B2" s="14"/>
      <c r="C2" s="14"/>
      <c r="D2" s="14"/>
      <c r="E2" s="14"/>
      <c r="F2" s="14"/>
      <c r="G2" s="14"/>
      <c r="H2" s="2"/>
    </row>
    <row r="3" spans="1:8" x14ac:dyDescent="0.3">
      <c r="A3" s="3" t="s">
        <v>375</v>
      </c>
      <c r="B3" s="3" t="s">
        <v>376</v>
      </c>
      <c r="C3" s="3" t="s">
        <v>377</v>
      </c>
      <c r="D3" s="3" t="s">
        <v>378</v>
      </c>
      <c r="E3" s="3" t="s">
        <v>379</v>
      </c>
      <c r="F3" s="3" t="s">
        <v>380</v>
      </c>
      <c r="G3" s="3" t="s">
        <v>381</v>
      </c>
      <c r="H3" s="3" t="s">
        <v>382</v>
      </c>
    </row>
    <row r="4" spans="1:8" x14ac:dyDescent="0.3">
      <c r="A4" s="2">
        <v>1</v>
      </c>
      <c r="B4" s="2" t="s">
        <v>383</v>
      </c>
      <c r="C4" s="2" t="s">
        <v>384</v>
      </c>
      <c r="D4" s="2" t="s">
        <v>385</v>
      </c>
      <c r="E4" s="2" t="s">
        <v>386</v>
      </c>
      <c r="F4" s="2" t="s">
        <v>387</v>
      </c>
      <c r="G4" s="2" t="s">
        <v>388</v>
      </c>
      <c r="H4" s="2" t="s">
        <v>389</v>
      </c>
    </row>
    <row r="5" spans="1:8" x14ac:dyDescent="0.3">
      <c r="A5" s="2">
        <v>2</v>
      </c>
      <c r="B5" s="2" t="s">
        <v>39</v>
      </c>
      <c r="C5" s="2" t="s">
        <v>390</v>
      </c>
      <c r="D5" s="2" t="s">
        <v>391</v>
      </c>
      <c r="E5" s="2" t="s">
        <v>392</v>
      </c>
      <c r="F5" s="2" t="s">
        <v>393</v>
      </c>
      <c r="G5" s="2" t="s">
        <v>394</v>
      </c>
      <c r="H5" s="2" t="s">
        <v>389</v>
      </c>
    </row>
    <row r="6" spans="1:8" x14ac:dyDescent="0.3">
      <c r="A6" s="1">
        <v>3</v>
      </c>
      <c r="B6" s="14" t="s">
        <v>395</v>
      </c>
      <c r="C6" s="14" t="s">
        <v>396</v>
      </c>
      <c r="D6" s="14" t="s">
        <v>397</v>
      </c>
      <c r="E6" s="14" t="s">
        <v>398</v>
      </c>
      <c r="F6" s="14" t="s">
        <v>399</v>
      </c>
      <c r="G6" s="14" t="s">
        <v>400</v>
      </c>
      <c r="H6" s="2" t="s">
        <v>389</v>
      </c>
    </row>
    <row r="7" spans="1:8" x14ac:dyDescent="0.3">
      <c r="A7" s="1">
        <v>4</v>
      </c>
      <c r="B7" s="14" t="s">
        <v>401</v>
      </c>
      <c r="C7" s="14" t="s">
        <v>402</v>
      </c>
      <c r="D7" s="14" t="s">
        <v>403</v>
      </c>
      <c r="E7" s="14" t="s">
        <v>404</v>
      </c>
      <c r="F7" s="14" t="s">
        <v>405</v>
      </c>
      <c r="G7" s="14" t="s">
        <v>406</v>
      </c>
      <c r="H7" s="2" t="s">
        <v>389</v>
      </c>
    </row>
    <row r="8" spans="1:8" x14ac:dyDescent="0.3">
      <c r="A8" s="1">
        <v>5</v>
      </c>
      <c r="B8" s="14" t="s">
        <v>10</v>
      </c>
      <c r="C8" s="14" t="s">
        <v>407</v>
      </c>
      <c r="D8" s="14" t="s">
        <v>408</v>
      </c>
      <c r="E8" s="14" t="s">
        <v>409</v>
      </c>
      <c r="F8" s="14" t="s">
        <v>410</v>
      </c>
      <c r="G8" s="14" t="s">
        <v>411</v>
      </c>
      <c r="H8" s="2" t="s">
        <v>389</v>
      </c>
    </row>
    <row r="9" spans="1:8" x14ac:dyDescent="0.3">
      <c r="A9" s="1">
        <v>6</v>
      </c>
      <c r="B9" s="14" t="s">
        <v>22</v>
      </c>
      <c r="C9" s="14" t="s">
        <v>412</v>
      </c>
      <c r="D9" s="14" t="s">
        <v>413</v>
      </c>
      <c r="E9" s="14" t="s">
        <v>414</v>
      </c>
      <c r="F9" s="14" t="s">
        <v>415</v>
      </c>
      <c r="G9" s="14" t="s">
        <v>416</v>
      </c>
      <c r="H9" s="2" t="s">
        <v>389</v>
      </c>
    </row>
    <row r="10" spans="1:8" x14ac:dyDescent="0.3">
      <c r="A10" s="1">
        <v>7</v>
      </c>
      <c r="B10" s="14" t="s">
        <v>417</v>
      </c>
      <c r="C10" s="14" t="s">
        <v>418</v>
      </c>
      <c r="D10" s="14" t="s">
        <v>419</v>
      </c>
      <c r="E10" s="14" t="s">
        <v>420</v>
      </c>
      <c r="F10" s="14" t="s">
        <v>421</v>
      </c>
      <c r="G10" s="14" t="s">
        <v>422</v>
      </c>
      <c r="H10" s="2" t="s">
        <v>389</v>
      </c>
    </row>
    <row r="11" spans="1:8" x14ac:dyDescent="0.3">
      <c r="A11" s="1">
        <v>8</v>
      </c>
      <c r="B11" s="14" t="s">
        <v>171</v>
      </c>
      <c r="C11" s="14" t="s">
        <v>423</v>
      </c>
      <c r="D11" s="14" t="s">
        <v>424</v>
      </c>
      <c r="E11" s="14" t="s">
        <v>425</v>
      </c>
      <c r="F11" s="14" t="s">
        <v>426</v>
      </c>
      <c r="G11" s="14" t="s">
        <v>427</v>
      </c>
      <c r="H11" s="2" t="s">
        <v>428</v>
      </c>
    </row>
    <row r="12" spans="1:8" x14ac:dyDescent="0.3">
      <c r="A12" s="1">
        <v>9</v>
      </c>
      <c r="B12" s="14" t="s">
        <v>192</v>
      </c>
      <c r="C12" s="14" t="s">
        <v>429</v>
      </c>
      <c r="D12" s="14" t="s">
        <v>430</v>
      </c>
      <c r="E12" s="14" t="s">
        <v>431</v>
      </c>
      <c r="F12" s="14" t="s">
        <v>432</v>
      </c>
      <c r="G12" s="14" t="s">
        <v>433</v>
      </c>
      <c r="H12" s="2" t="s">
        <v>434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workbookViewId="0">
      <pane ySplit="3" topLeftCell="A4" activePane="bottomLeft" state="frozen"/>
      <selection pane="bottomLeft" activeCell="A2" sqref="A1:A1048576"/>
    </sheetView>
  </sheetViews>
  <sheetFormatPr defaultRowHeight="14.4" x14ac:dyDescent="0.3"/>
  <cols>
    <col min="1" max="1" width="36" style="15" customWidth="1"/>
    <col min="2" max="2" width="21" style="15" customWidth="1"/>
    <col min="3" max="3" width="38" style="15" customWidth="1"/>
    <col min="4" max="4" width="36" style="15" customWidth="1"/>
    <col min="5" max="5" width="27" style="15" customWidth="1"/>
    <col min="6" max="6" width="21" style="15" customWidth="1"/>
  </cols>
  <sheetData>
    <row r="1" spans="1:6" ht="24" customHeight="1" x14ac:dyDescent="0.3">
      <c r="A1" s="11" t="s">
        <v>435</v>
      </c>
      <c r="B1" s="12"/>
      <c r="C1" s="12"/>
      <c r="D1" s="12"/>
      <c r="E1" s="12"/>
      <c r="F1" s="12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3" t="s">
        <v>436</v>
      </c>
      <c r="B3" s="3" t="s">
        <v>437</v>
      </c>
      <c r="C3" s="3" t="s">
        <v>438</v>
      </c>
      <c r="D3" s="3" t="s">
        <v>439</v>
      </c>
      <c r="E3" s="3" t="s">
        <v>440</v>
      </c>
      <c r="F3" s="3" t="s">
        <v>378</v>
      </c>
    </row>
    <row r="4" spans="1:6" x14ac:dyDescent="0.3">
      <c r="A4" s="2" t="s">
        <v>185</v>
      </c>
      <c r="B4" s="2" t="s">
        <v>182</v>
      </c>
      <c r="C4" s="2" t="s">
        <v>441</v>
      </c>
      <c r="D4" s="2" t="s">
        <v>442</v>
      </c>
      <c r="E4" s="2" t="s">
        <v>443</v>
      </c>
      <c r="F4" s="2" t="s">
        <v>444</v>
      </c>
    </row>
    <row r="5" spans="1:6" x14ac:dyDescent="0.3">
      <c r="A5" s="2" t="s">
        <v>445</v>
      </c>
      <c r="B5" s="2" t="s">
        <v>187</v>
      </c>
      <c r="C5" s="2" t="s">
        <v>446</v>
      </c>
      <c r="D5" s="2" t="s">
        <v>447</v>
      </c>
      <c r="E5" s="2" t="s">
        <v>448</v>
      </c>
      <c r="F5" s="2" t="s">
        <v>449</v>
      </c>
    </row>
    <row r="6" spans="1:6" x14ac:dyDescent="0.3">
      <c r="A6" s="14" t="s">
        <v>450</v>
      </c>
      <c r="B6" s="14" t="s">
        <v>187</v>
      </c>
      <c r="C6" s="14" t="s">
        <v>451</v>
      </c>
      <c r="D6" s="14" t="s">
        <v>452</v>
      </c>
      <c r="E6" s="14" t="s">
        <v>453</v>
      </c>
      <c r="F6" s="14" t="s">
        <v>449</v>
      </c>
    </row>
    <row r="7" spans="1:6" x14ac:dyDescent="0.3">
      <c r="A7" s="14" t="s">
        <v>454</v>
      </c>
      <c r="B7" s="14" t="s">
        <v>212</v>
      </c>
      <c r="C7" s="14" t="s">
        <v>455</v>
      </c>
      <c r="D7" s="14" t="s">
        <v>456</v>
      </c>
      <c r="E7" s="14" t="s">
        <v>457</v>
      </c>
      <c r="F7" s="14" t="s">
        <v>458</v>
      </c>
    </row>
    <row r="8" spans="1:6" x14ac:dyDescent="0.3">
      <c r="A8" s="14" t="s">
        <v>459</v>
      </c>
      <c r="B8" s="14" t="s">
        <v>212</v>
      </c>
      <c r="C8" s="14" t="s">
        <v>460</v>
      </c>
      <c r="D8" s="14" t="s">
        <v>461</v>
      </c>
      <c r="E8" s="14" t="s">
        <v>462</v>
      </c>
      <c r="F8" s="14" t="s">
        <v>463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Executive Summary</vt:lpstr>
      <vt:lpstr>Architecture &amp; Files</vt:lpstr>
      <vt:lpstr>Generation Metrics</vt:lpstr>
      <vt:lpstr>Retrieval Metrics</vt:lpstr>
      <vt:lpstr>Qualitative Evaluation</vt:lpstr>
      <vt:lpstr>Opt Prompt</vt:lpstr>
      <vt:lpstr>Opt Embedding</vt:lpstr>
      <vt:lpstr>Opt Chunking</vt:lpstr>
      <vt:lpstr>Opt Strategy</vt:lpstr>
      <vt:lpstr>Opt TopK</vt:lpstr>
      <vt:lpstr>Optimization Summary</vt:lpstr>
      <vt:lpstr>APIs &amp; Technology</vt:lpstr>
      <vt:lpstr>Test Plan</vt:lpstr>
      <vt:lpstr>Output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Complaints RAG Chatbot - Comprehensive Evaluation and Optimization Report</dc:title>
  <dc:subject>Evaluation, optimization, architecture, API, testing, and benchmark report</dc:subject>
  <dc:creator>OpenAI</dc:creator>
  <cp:lastModifiedBy>hp</cp:lastModifiedBy>
  <dcterms:created xsi:type="dcterms:W3CDTF">2026-07-23T20:19:48Z</dcterms:created>
  <dcterms:modified xsi:type="dcterms:W3CDTF">2026-07-23T21:49:37Z</dcterms:modified>
</cp:coreProperties>
</file>